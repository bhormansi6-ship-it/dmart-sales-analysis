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arsh\Downloads\"/>
    </mc:Choice>
  </mc:AlternateContent>
  <xr:revisionPtr revIDLastSave="0" documentId="13_ncr:1_{2CA043F5-DE07-4A86-B00D-A2BC38D97213}" xr6:coauthVersionLast="47" xr6:coauthVersionMax="47" xr10:uidLastSave="{00000000-0000-0000-0000-000000000000}"/>
  <bookViews>
    <workbookView xWindow="-110" yWindow="-110" windowWidth="19420" windowHeight="11020" tabRatio="500" activeTab="4" xr2:uid="{00000000-000D-0000-FFFF-FFFF00000000}"/>
  </bookViews>
  <sheets>
    <sheet name="Raw Data" sheetId="2" r:id="rId1"/>
    <sheet name="KPI Dashboard" sheetId="1" r:id="rId2"/>
    <sheet name="Sheet1" sheetId="6" r:id="rId3"/>
    <sheet name="PIVOT TABLE" sheetId="4" r:id="rId4"/>
    <sheet name="DASHBOARD" sheetId="5" r:id="rId5"/>
  </sheets>
  <definedNames>
    <definedName name="_xlnm._FilterDatabase" localSheetId="0" hidden="1">'Raw Data'!$A$1:$U$501</definedName>
    <definedName name="NativeTimeline_Order_Date">#N/A</definedName>
    <definedName name="NativeTimeline_Order_Date1">#N/A</definedName>
    <definedName name="Slicer_Brand">#N/A</definedName>
    <definedName name="Slicer_Category">#N/A</definedName>
    <definedName name="Slicer_Category1">#N/A</definedName>
    <definedName name="Slicer_Gender">#N/A</definedName>
    <definedName name="Slicer_Gender1">#N/A</definedName>
    <definedName name="Slicer_ORDER_MONTH">#N/A</definedName>
    <definedName name="Slicer_ORDER_MONTH1">#N/A</definedName>
    <definedName name="Slicer_Payment_Mode">#N/A</definedName>
    <definedName name="Slicer_Payment_Mode1">#N/A</definedName>
    <definedName name="Slicer_Region">#N/A</definedName>
    <definedName name="Slicer_Region1">#N/A</definedName>
  </definedNames>
  <calcPr calcId="191029" iterateDelta="1E-4"/>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20" i="1" l="1"/>
  <c r="J5" i="5"/>
  <c r="A7" i="1"/>
  <c r="C5" i="5"/>
  <c r="Q5" i="5"/>
  <c r="M5" i="5"/>
  <c r="D7" i="1"/>
  <c r="G5" i="5"/>
  <c r="M10" i="1"/>
  <c r="D10" i="1"/>
  <c r="N32" i="1"/>
  <c r="G10" i="1"/>
  <c r="P7" i="1"/>
  <c r="M7" i="1"/>
  <c r="M15" i="1"/>
  <c r="M16" i="1"/>
  <c r="M17" i="1"/>
  <c r="M18" i="1"/>
  <c r="M19" i="1"/>
  <c r="M20" i="1"/>
  <c r="M21" i="1"/>
  <c r="M22" i="1"/>
  <c r="M23" i="1"/>
  <c r="M24" i="1"/>
  <c r="M25" i="1"/>
  <c r="K15" i="1"/>
  <c r="O15" i="1"/>
  <c r="I15" i="1"/>
  <c r="E15" i="1"/>
  <c r="C15" i="1"/>
  <c r="G15" i="1"/>
  <c r="E16" i="1"/>
  <c r="A10" i="1"/>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O26" i="1" s="1"/>
  <c r="B2" i="2"/>
  <c r="R45" i="1"/>
  <c r="P45" i="1"/>
  <c r="N45" i="1"/>
  <c r="R44" i="1"/>
  <c r="P44" i="1"/>
  <c r="N44" i="1"/>
  <c r="R43" i="1"/>
  <c r="P43" i="1"/>
  <c r="N43" i="1"/>
  <c r="I43" i="1"/>
  <c r="G43" i="1"/>
  <c r="E43" i="1"/>
  <c r="C43" i="1"/>
  <c r="R42" i="1"/>
  <c r="P42" i="1"/>
  <c r="N42" i="1"/>
  <c r="I42" i="1"/>
  <c r="G42" i="1"/>
  <c r="E42" i="1"/>
  <c r="C42" i="1"/>
  <c r="R41" i="1"/>
  <c r="P41" i="1"/>
  <c r="N41" i="1"/>
  <c r="I41" i="1"/>
  <c r="G41" i="1"/>
  <c r="E41" i="1"/>
  <c r="C41" i="1"/>
  <c r="J37" i="1"/>
  <c r="H37" i="1"/>
  <c r="F37" i="1"/>
  <c r="D37" i="1"/>
  <c r="B37" i="1"/>
  <c r="J36" i="1"/>
  <c r="H36" i="1"/>
  <c r="F36" i="1"/>
  <c r="D36" i="1"/>
  <c r="B36" i="1"/>
  <c r="T35" i="1"/>
  <c r="R35" i="1"/>
  <c r="P35" i="1"/>
  <c r="N35" i="1"/>
  <c r="J35" i="1"/>
  <c r="H35" i="1"/>
  <c r="F35" i="1"/>
  <c r="D35" i="1"/>
  <c r="B35" i="1"/>
  <c r="T34" i="1"/>
  <c r="R34" i="1"/>
  <c r="P34" i="1"/>
  <c r="N34" i="1"/>
  <c r="J34" i="1"/>
  <c r="H34" i="1"/>
  <c r="F34" i="1"/>
  <c r="D34" i="1"/>
  <c r="B34" i="1"/>
  <c r="T33" i="1"/>
  <c r="R33" i="1"/>
  <c r="P33" i="1"/>
  <c r="N33" i="1"/>
  <c r="J33" i="1"/>
  <c r="H33" i="1"/>
  <c r="F33" i="1"/>
  <c r="D33" i="1"/>
  <c r="B33" i="1"/>
  <c r="T32" i="1"/>
  <c r="R32" i="1"/>
  <c r="P32" i="1"/>
  <c r="J32" i="1"/>
  <c r="H32" i="1"/>
  <c r="F32" i="1"/>
  <c r="D32" i="1"/>
  <c r="B32" i="1"/>
  <c r="T31" i="1"/>
  <c r="R31" i="1"/>
  <c r="P31" i="1"/>
  <c r="N31" i="1"/>
  <c r="J31" i="1"/>
  <c r="H31" i="1"/>
  <c r="F31" i="1"/>
  <c r="D31" i="1"/>
  <c r="B31" i="1"/>
  <c r="S26" i="1"/>
  <c r="Q26" i="1"/>
  <c r="M26" i="1"/>
  <c r="K26" i="1"/>
  <c r="I26" i="1"/>
  <c r="E26" i="1"/>
  <c r="C26" i="1"/>
  <c r="S25" i="1"/>
  <c r="O25" i="1"/>
  <c r="K25" i="1"/>
  <c r="G25" i="1"/>
  <c r="E25" i="1"/>
  <c r="C25" i="1"/>
  <c r="Q24" i="1"/>
  <c r="O24" i="1"/>
  <c r="I24" i="1"/>
  <c r="G24" i="1"/>
  <c r="E24" i="1"/>
  <c r="S23" i="1"/>
  <c r="Q23" i="1"/>
  <c r="O23" i="1"/>
  <c r="K23" i="1"/>
  <c r="I23" i="1"/>
  <c r="G23" i="1"/>
  <c r="C23" i="1"/>
  <c r="S22" i="1"/>
  <c r="Q22" i="1"/>
  <c r="K22" i="1"/>
  <c r="I22" i="1"/>
  <c r="E22" i="1"/>
  <c r="C22" i="1"/>
  <c r="S21" i="1"/>
  <c r="O21" i="1"/>
  <c r="K21" i="1"/>
  <c r="G21" i="1"/>
  <c r="E21" i="1"/>
  <c r="C21" i="1"/>
  <c r="Q20" i="1"/>
  <c r="O20" i="1"/>
  <c r="I20" i="1"/>
  <c r="G20" i="1"/>
  <c r="S19" i="1"/>
  <c r="Q19" i="1"/>
  <c r="O19" i="1"/>
  <c r="K19" i="1"/>
  <c r="I19" i="1"/>
  <c r="G19" i="1"/>
  <c r="C19" i="1"/>
  <c r="S18" i="1"/>
  <c r="Q18" i="1"/>
  <c r="K18" i="1"/>
  <c r="I18" i="1"/>
  <c r="E18" i="1"/>
  <c r="C18" i="1"/>
  <c r="S17" i="1"/>
  <c r="O17" i="1"/>
  <c r="K17" i="1"/>
  <c r="G17" i="1"/>
  <c r="E17" i="1"/>
  <c r="C17" i="1"/>
  <c r="Q16" i="1"/>
  <c r="O16" i="1"/>
  <c r="I16" i="1"/>
  <c r="G16" i="1"/>
  <c r="S15" i="1"/>
  <c r="S10" i="1"/>
  <c r="P10" i="1"/>
  <c r="J10" i="1"/>
  <c r="S7" i="1"/>
  <c r="J7" i="1"/>
  <c r="G7" i="1"/>
  <c r="C16" i="1" l="1"/>
  <c r="K16" i="1"/>
  <c r="S16" i="1"/>
  <c r="I17" i="1"/>
  <c r="Q17" i="1"/>
  <c r="G18" i="1"/>
  <c r="O18" i="1"/>
  <c r="E19" i="1"/>
  <c r="C20" i="1"/>
  <c r="K20" i="1"/>
  <c r="S20" i="1"/>
  <c r="I21" i="1"/>
  <c r="Q21" i="1"/>
  <c r="G22" i="1"/>
  <c r="O22" i="1"/>
  <c r="E23" i="1"/>
  <c r="C24" i="1"/>
  <c r="K24" i="1"/>
  <c r="S24" i="1"/>
  <c r="I25" i="1"/>
  <c r="Q25" i="1"/>
  <c r="G26" i="1"/>
  <c r="E27" i="1" l="1"/>
  <c r="O27" i="1"/>
  <c r="Q27" i="1"/>
  <c r="C27" i="1"/>
  <c r="S27" i="1"/>
  <c r="G27" i="1"/>
  <c r="K27" i="1"/>
  <c r="I27" i="1"/>
  <c r="M27" i="1"/>
</calcChain>
</file>

<file path=xl/sharedStrings.xml><?xml version="1.0" encoding="utf-8"?>
<sst xmlns="http://schemas.openxmlformats.org/spreadsheetml/2006/main" count="8712" uniqueCount="634">
  <si>
    <t>🛍  AJIO SALES KPI DASHBOARD</t>
  </si>
  <si>
    <t>Full Year Performance Summary  |  500 Orders  |  FY Analytics</t>
  </si>
  <si>
    <t xml:space="preserve">  KEY PERFORMANCE INDICATORS</t>
  </si>
  <si>
    <t>₹  TOTAL REVENUE</t>
  </si>
  <si>
    <t>₹  NET REVENUE</t>
  </si>
  <si>
    <t>₹  GROSS PROFIT</t>
  </si>
  <si>
    <t>#  TOTAL ORDERS</t>
  </si>
  <si>
    <t>📦  UNITS SOLD</t>
  </si>
  <si>
    <t>🔄  TOTAL RETURNS</t>
  </si>
  <si>
    <t>⭐  AVG RATING</t>
  </si>
  <si>
    <t>PROFIT MARGIN %</t>
  </si>
  <si>
    <t>AVG ORDER VALUE (₹)</t>
  </si>
  <si>
    <t>RETURN RATE %</t>
  </si>
  <si>
    <t>DISCOUNT IMPACT (₹)</t>
  </si>
  <si>
    <t>AVG UNITS/ORDER</t>
  </si>
  <si>
    <t>COST RATIO %</t>
  </si>
  <si>
    <t>NET MARGIN %</t>
  </si>
  <si>
    <t xml:space="preserve">  MONTHLY PERFORMANCE BREAKDOWN</t>
  </si>
  <si>
    <t>MONTH</t>
  </si>
  <si>
    <t>ORDERS</t>
  </si>
  <si>
    <t>UNITS SOLD</t>
  </si>
  <si>
    <t>REVENUE (₹)</t>
  </si>
  <si>
    <t>NET REVENUE (₹)</t>
  </si>
  <si>
    <t>GROSS PROFIT (₹)</t>
  </si>
  <si>
    <t>PROFIT MARGIN</t>
  </si>
  <si>
    <t>RETURNS</t>
  </si>
  <si>
    <t>RETURN RATE</t>
  </si>
  <si>
    <t>AVG RATING</t>
  </si>
  <si>
    <t>January</t>
  </si>
  <si>
    <t>February</t>
  </si>
  <si>
    <t>March</t>
  </si>
  <si>
    <t>April</t>
  </si>
  <si>
    <t>May</t>
  </si>
  <si>
    <t>June</t>
  </si>
  <si>
    <t>July</t>
  </si>
  <si>
    <t>August</t>
  </si>
  <si>
    <t>September</t>
  </si>
  <si>
    <t>October</t>
  </si>
  <si>
    <t>November</t>
  </si>
  <si>
    <t>December</t>
  </si>
  <si>
    <t>TOTAL / AVG</t>
  </si>
  <si>
    <t xml:space="preserve">  REVENUE BY CATEGORY</t>
  </si>
  <si>
    <t xml:space="preserve">  REVENUE BY REGION</t>
  </si>
  <si>
    <t>CATEGORY</t>
  </si>
  <si>
    <t>NET REVENUE</t>
  </si>
  <si>
    <t>PROFIT</t>
  </si>
  <si>
    <t>MARGIN %</t>
  </si>
  <si>
    <t>REGION</t>
  </si>
  <si>
    <t>Sports</t>
  </si>
  <si>
    <t>North</t>
  </si>
  <si>
    <t>Beauty</t>
  </si>
  <si>
    <t>South</t>
  </si>
  <si>
    <t>Footwear</t>
  </si>
  <si>
    <t>East</t>
  </si>
  <si>
    <t>Accessories</t>
  </si>
  <si>
    <t>West</t>
  </si>
  <si>
    <t>Home &amp; Living</t>
  </si>
  <si>
    <t>Central</t>
  </si>
  <si>
    <t>Kids</t>
  </si>
  <si>
    <t>Clothing</t>
  </si>
  <si>
    <t xml:space="preserve">  ORDERS BY CHANNEL</t>
  </si>
  <si>
    <t xml:space="preserve">  ORDERS BY PAYMENT MODE</t>
  </si>
  <si>
    <t>CHANNEL</t>
  </si>
  <si>
    <t>PAYMENT MODE</t>
  </si>
  <si>
    <t>App</t>
  </si>
  <si>
    <t>COD</t>
  </si>
  <si>
    <t>Mobile Web</t>
  </si>
  <si>
    <t>UPI</t>
  </si>
  <si>
    <t>Website</t>
  </si>
  <si>
    <t>Credit Card</t>
  </si>
  <si>
    <t>Debit Card</t>
  </si>
  <si>
    <t>Wallet</t>
  </si>
  <si>
    <t>Order ID</t>
  </si>
  <si>
    <t>ORDER MONTH</t>
  </si>
  <si>
    <t>Order Date</t>
  </si>
  <si>
    <t>Project Name</t>
  </si>
  <si>
    <t>Category</t>
  </si>
  <si>
    <t>Brand</t>
  </si>
  <si>
    <t>Region</t>
  </si>
  <si>
    <t>Channel</t>
  </si>
  <si>
    <t>Payment Mode</t>
  </si>
  <si>
    <t>Gender</t>
  </si>
  <si>
    <t>Units Sold</t>
  </si>
  <si>
    <t>Unit Price (₹)</t>
  </si>
  <si>
    <t>Discount (%)</t>
  </si>
  <si>
    <t>Discount Amount (₹)</t>
  </si>
  <si>
    <t>Net Revenue (₹)</t>
  </si>
  <si>
    <t>Cost (₹)</t>
  </si>
  <si>
    <t>Gross Profit (₹)</t>
  </si>
  <si>
    <t>Returns</t>
  </si>
  <si>
    <t>Return Amount (₹)</t>
  </si>
  <si>
    <t>Customer Rating</t>
  </si>
  <si>
    <t>ORD00126</t>
  </si>
  <si>
    <t>AJIO Back to Campus</t>
  </si>
  <si>
    <t>Zara</t>
  </si>
  <si>
    <t>Male</t>
  </si>
  <si>
    <t>ORD00272</t>
  </si>
  <si>
    <t>AJIO Summer Splash</t>
  </si>
  <si>
    <t>Nike</t>
  </si>
  <si>
    <t>Female</t>
  </si>
  <si>
    <t>ORD00367</t>
  </si>
  <si>
    <t>AJIO Sports Carnival</t>
  </si>
  <si>
    <t>HERE&amp;NOW</t>
  </si>
  <si>
    <t>Unisex</t>
  </si>
  <si>
    <t>ORD00236</t>
  </si>
  <si>
    <t>AJIO Fashion Fiesta</t>
  </si>
  <si>
    <t>H&amp;M</t>
  </si>
  <si>
    <t>ORD00399</t>
  </si>
  <si>
    <t>Levis</t>
  </si>
  <si>
    <t>ORD00482</t>
  </si>
  <si>
    <t>ORD00413</t>
  </si>
  <si>
    <t>Adidas</t>
  </si>
  <si>
    <t>ORD00107</t>
  </si>
  <si>
    <t>AJIO New Year Blowout</t>
  </si>
  <si>
    <t>ORD00082</t>
  </si>
  <si>
    <t>AJIO End of Season</t>
  </si>
  <si>
    <t>Van Heusen</t>
  </si>
  <si>
    <t>ORD00172</t>
  </si>
  <si>
    <t>ORD00211</t>
  </si>
  <si>
    <t>ORD00386</t>
  </si>
  <si>
    <t>AJIO Big Bold Sale</t>
  </si>
  <si>
    <t>ORD00489</t>
  </si>
  <si>
    <t>AJIO Mega Brand Sale</t>
  </si>
  <si>
    <t>ORD00481</t>
  </si>
  <si>
    <t>Roadster</t>
  </si>
  <si>
    <t>ORD00101</t>
  </si>
  <si>
    <t>ORD00311</t>
  </si>
  <si>
    <t>ORD00473</t>
  </si>
  <si>
    <t>ORD00084</t>
  </si>
  <si>
    <t>ORD00163</t>
  </si>
  <si>
    <t>ORD00316</t>
  </si>
  <si>
    <t>AJIO Festive Rush</t>
  </si>
  <si>
    <t>ORD00281</t>
  </si>
  <si>
    <t>ORD00416</t>
  </si>
  <si>
    <t>Tokyo Talkies</t>
  </si>
  <si>
    <t>ORD00457</t>
  </si>
  <si>
    <t>ORD00274</t>
  </si>
  <si>
    <t>ORD00351</t>
  </si>
  <si>
    <t>ORD00103</t>
  </si>
  <si>
    <t>ORD00255</t>
  </si>
  <si>
    <t>ORD00296</t>
  </si>
  <si>
    <t>ORD00454</t>
  </si>
  <si>
    <t>AJIO Luxury Week</t>
  </si>
  <si>
    <t>ORD00259</t>
  </si>
  <si>
    <t>ORD00222</t>
  </si>
  <si>
    <t>ORD00021</t>
  </si>
  <si>
    <t>ORD00372</t>
  </si>
  <si>
    <t>ORD00452</t>
  </si>
  <si>
    <t>ORD00022</t>
  </si>
  <si>
    <t>ORD00032</t>
  </si>
  <si>
    <t>ORD00106</t>
  </si>
  <si>
    <t>Puma</t>
  </si>
  <si>
    <t>ORD00396</t>
  </si>
  <si>
    <t>ORD00462</t>
  </si>
  <si>
    <t>ORD00137</t>
  </si>
  <si>
    <t>ORD00197</t>
  </si>
  <si>
    <t>ORD00050</t>
  </si>
  <si>
    <t>ORD00314</t>
  </si>
  <si>
    <t>ORD00373</t>
  </si>
  <si>
    <t>ORD00346</t>
  </si>
  <si>
    <t>ORD00361</t>
  </si>
  <si>
    <t>ORD00215</t>
  </si>
  <si>
    <t>ORD00221</t>
  </si>
  <si>
    <t>ORD00278</t>
  </si>
  <si>
    <t>ORD00421</t>
  </si>
  <si>
    <t>ORD00067</t>
  </si>
  <si>
    <t>ORD00439</t>
  </si>
  <si>
    <t>ORD00470</t>
  </si>
  <si>
    <t>ORD00191</t>
  </si>
  <si>
    <t>ORD00309</t>
  </si>
  <si>
    <t>ORD00415</t>
  </si>
  <si>
    <t>ORD00017</t>
  </si>
  <si>
    <t>ORD00318</t>
  </si>
  <si>
    <t>ORD00019</t>
  </si>
  <si>
    <t>ORD00227</t>
  </si>
  <si>
    <t>ORD00161</t>
  </si>
  <si>
    <t>ORD00307</t>
  </si>
  <si>
    <t>ORD00409</t>
  </si>
  <si>
    <t>ORD00059</t>
  </si>
  <si>
    <t>ORD00198</t>
  </si>
  <si>
    <t>ORD00493</t>
  </si>
  <si>
    <t>ORD00336</t>
  </si>
  <si>
    <t>ORD00208</t>
  </si>
  <si>
    <t>ORD00339</t>
  </si>
  <si>
    <t>ORD00497</t>
  </si>
  <si>
    <t>ORD00250</t>
  </si>
  <si>
    <t>ORD00437</t>
  </si>
  <si>
    <t>ORD00104</t>
  </si>
  <si>
    <t>ORD00263</t>
  </si>
  <si>
    <t>ORD00279</t>
  </si>
  <si>
    <t>ORD00310</t>
  </si>
  <si>
    <t>ORD00273</t>
  </si>
  <si>
    <t>ORD00443</t>
  </si>
  <si>
    <t>ORD00230</t>
  </si>
  <si>
    <t>ORD00302</t>
  </si>
  <si>
    <t>ORD00401</t>
  </si>
  <si>
    <t>ORD00116</t>
  </si>
  <si>
    <t>ORD00151</t>
  </si>
  <si>
    <t>ORD00265</t>
  </si>
  <si>
    <t>ORD00139</t>
  </si>
  <si>
    <t>ORD00298</t>
  </si>
  <si>
    <t>ORD00118</t>
  </si>
  <si>
    <t>ORD00358</t>
  </si>
  <si>
    <t>ORD00431</t>
  </si>
  <si>
    <t>ORD00088</t>
  </si>
  <si>
    <t>ORD00008</t>
  </si>
  <si>
    <t>ORD00380</t>
  </si>
  <si>
    <t>ORD00423</t>
  </si>
  <si>
    <t>ORD00394</t>
  </si>
  <si>
    <t>ORD00098</t>
  </si>
  <si>
    <t>ORD00418</t>
  </si>
  <si>
    <t>ORD00011</t>
  </si>
  <si>
    <t>ORD00003</t>
  </si>
  <si>
    <t>ORD00228</t>
  </si>
  <si>
    <t>ORD00332</t>
  </si>
  <si>
    <t>ORD00326</t>
  </si>
  <si>
    <t>ORD00085</t>
  </si>
  <si>
    <t>ORD00240</t>
  </si>
  <si>
    <t>ORD00300</t>
  </si>
  <si>
    <t>ORD00384</t>
  </si>
  <si>
    <t>ORD00219</t>
  </si>
  <si>
    <t>ORD00370</t>
  </si>
  <si>
    <t>ORD00383</t>
  </si>
  <si>
    <t>ORD00203</t>
  </si>
  <si>
    <t>ORD00033</t>
  </si>
  <si>
    <t>ORD00243</t>
  </si>
  <si>
    <t>ORD00337</t>
  </si>
  <si>
    <t>ORD00406</t>
  </si>
  <si>
    <t>ORD00446</t>
  </si>
  <si>
    <t>ORD00463</t>
  </si>
  <si>
    <t>ORD00434</t>
  </si>
  <si>
    <t>ORD00490</t>
  </si>
  <si>
    <t>ORD00074</t>
  </si>
  <si>
    <t>ORD00283</t>
  </si>
  <si>
    <t>ORD00034</t>
  </si>
  <si>
    <t>ORD00117</t>
  </si>
  <si>
    <t>ORD00039</t>
  </si>
  <si>
    <t>ORD00150</t>
  </si>
  <si>
    <t>ORD00342</t>
  </si>
  <si>
    <t>ORD00142</t>
  </si>
  <si>
    <t>ORD00397</t>
  </si>
  <si>
    <t>ORD00204</t>
  </si>
  <si>
    <t>ORD00213</t>
  </si>
  <si>
    <t>ORD00471</t>
  </si>
  <si>
    <t>ORD00062</t>
  </si>
  <si>
    <t>ORD00445</t>
  </si>
  <si>
    <t>ORD00451</t>
  </si>
  <si>
    <t>ORD00226</t>
  </si>
  <si>
    <t>ORD00277</t>
  </si>
  <si>
    <t>ORD00160</t>
  </si>
  <si>
    <t>ORD00287</t>
  </si>
  <si>
    <t>ORD00097</t>
  </si>
  <si>
    <t>ORD00102</t>
  </si>
  <si>
    <t>ORD00002</t>
  </si>
  <si>
    <t>ORD00350</t>
  </si>
  <si>
    <t>ORD00435</t>
  </si>
  <si>
    <t>ORD00100</t>
  </si>
  <si>
    <t>ORD00327</t>
  </si>
  <si>
    <t>ORD00064</t>
  </si>
  <si>
    <t>ORD00058</t>
  </si>
  <si>
    <t>ORD00007</t>
  </si>
  <si>
    <t>ORD00083</t>
  </si>
  <si>
    <t>ORD00195</t>
  </si>
  <si>
    <t>ORD00433</t>
  </si>
  <si>
    <t>ORD00090</t>
  </si>
  <si>
    <t>ORD00109</t>
  </si>
  <si>
    <t>ORD00374</t>
  </si>
  <si>
    <t>ORD00428</t>
  </si>
  <si>
    <t>ORD00030</t>
  </si>
  <si>
    <t>ORD00093</t>
  </si>
  <si>
    <t>ORD00249</t>
  </si>
  <si>
    <t>ORD00444</t>
  </si>
  <si>
    <t>ORD00291</t>
  </si>
  <si>
    <t>ORD00183</t>
  </si>
  <si>
    <t>ORD00355</t>
  </si>
  <si>
    <t>ORD00233</t>
  </si>
  <si>
    <t>ORD00018</t>
  </si>
  <si>
    <t>ORD00253</t>
  </si>
  <si>
    <t>ORD00400</t>
  </si>
  <si>
    <t>ORD00371</t>
  </si>
  <si>
    <t>ORD00381</t>
  </si>
  <si>
    <t>ORD00289</t>
  </si>
  <si>
    <t>ORD00105</t>
  </si>
  <si>
    <t>ORD00124</t>
  </si>
  <si>
    <t>ORD00186</t>
  </si>
  <si>
    <t>ORD00491</t>
  </si>
  <si>
    <t>ORD00054</t>
  </si>
  <si>
    <t>ORD00465</t>
  </si>
  <si>
    <t>ORD00185</t>
  </si>
  <si>
    <t>ORD00382</t>
  </si>
  <si>
    <t>ORD00004</t>
  </si>
  <si>
    <t>ORD00026</t>
  </si>
  <si>
    <t>ORD00251</t>
  </si>
  <si>
    <t>ORD00494</t>
  </si>
  <si>
    <t>ORD00393</t>
  </si>
  <si>
    <t>ORD00065</t>
  </si>
  <si>
    <t>ORD00389</t>
  </si>
  <si>
    <t>ORD00189</t>
  </si>
  <si>
    <t>ORD00345</t>
  </si>
  <si>
    <t>ORD00363</t>
  </si>
  <si>
    <t>ORD00016</t>
  </si>
  <si>
    <t>ORD00053</t>
  </si>
  <si>
    <t>ORD00256</t>
  </si>
  <si>
    <t>ORD00376</t>
  </si>
  <si>
    <t>ORD00379</t>
  </si>
  <si>
    <t>ORD00455</t>
  </si>
  <si>
    <t>ORD00478</t>
  </si>
  <si>
    <t>ORD00466</t>
  </si>
  <si>
    <t>ORD00425</t>
  </si>
  <si>
    <t>ORD00149</t>
  </si>
  <si>
    <t>ORD00070</t>
  </si>
  <si>
    <t>ORD00162</t>
  </si>
  <si>
    <t>ORD00005</t>
  </si>
  <si>
    <t>ORD00426</t>
  </si>
  <si>
    <t>ORD00269</t>
  </si>
  <si>
    <t>ORD00329</t>
  </si>
  <si>
    <t>ORD00073</t>
  </si>
  <si>
    <t>ORD00175</t>
  </si>
  <si>
    <t>ORD00081</t>
  </si>
  <si>
    <t>ORD00153</t>
  </si>
  <si>
    <t>ORD00180</t>
  </si>
  <si>
    <t>ORD00447</t>
  </si>
  <si>
    <t>ORD00247</t>
  </si>
  <si>
    <t>ORD00108</t>
  </si>
  <si>
    <t>ORD00458</t>
  </si>
  <si>
    <t>ORD00488</t>
  </si>
  <si>
    <t>ORD00217</t>
  </si>
  <si>
    <t>ORD00077</t>
  </si>
  <si>
    <t>ORD00335</t>
  </si>
  <si>
    <t>ORD00460</t>
  </si>
  <si>
    <t>ORD00092</t>
  </si>
  <si>
    <t>ORD00266</t>
  </si>
  <si>
    <t>ORD00306</t>
  </si>
  <si>
    <t>ORD00453</t>
  </si>
  <si>
    <t>ORD00152</t>
  </si>
  <si>
    <t>ORD00038</t>
  </si>
  <si>
    <t>ORD00442</t>
  </si>
  <si>
    <t>ORD00047</t>
  </si>
  <si>
    <t>ORD00165</t>
  </si>
  <si>
    <t>ORD00056</t>
  </si>
  <si>
    <t>ORD00128</t>
  </si>
  <si>
    <t>ORD00179</t>
  </si>
  <si>
    <t>ORD00280</t>
  </si>
  <si>
    <t>ORD00364</t>
  </si>
  <si>
    <t>ORD00133</t>
  </si>
  <si>
    <t>ORD00190</t>
  </si>
  <si>
    <t>ORD00252</t>
  </si>
  <si>
    <t>ORD00201</t>
  </si>
  <si>
    <t>ORD00235</t>
  </si>
  <si>
    <t>ORD00138</t>
  </si>
  <si>
    <t>ORD00317</t>
  </si>
  <si>
    <t>ORD00352</t>
  </si>
  <si>
    <t>ORD00496</t>
  </si>
  <si>
    <t>ORD00049</t>
  </si>
  <si>
    <t>ORD00408</t>
  </si>
  <si>
    <t>ORD00135</t>
  </si>
  <si>
    <t>ORD00146</t>
  </si>
  <si>
    <t>ORD00169</t>
  </si>
  <si>
    <t>ORD00174</t>
  </si>
  <si>
    <t>ORD00202</t>
  </si>
  <si>
    <t>ORD00404</t>
  </si>
  <si>
    <t>ORD00031</t>
  </si>
  <si>
    <t>ORD00231</t>
  </si>
  <si>
    <t>ORD00043</t>
  </si>
  <si>
    <t>ORD00072</t>
  </si>
  <si>
    <t>ORD00112</t>
  </si>
  <si>
    <t>ORD00216</t>
  </si>
  <si>
    <t>ORD00257</t>
  </si>
  <si>
    <t>ORD00334</t>
  </si>
  <si>
    <t>ORD00114</t>
  </si>
  <si>
    <t>ORD00292</t>
  </si>
  <si>
    <t>ORD00020</t>
  </si>
  <si>
    <t>ORD00338</t>
  </si>
  <si>
    <t>ORD00429</t>
  </si>
  <si>
    <t>ORD00276</t>
  </si>
  <si>
    <t>ORD00420</t>
  </si>
  <si>
    <t>ORD00130</t>
  </si>
  <si>
    <t>ORD00387</t>
  </si>
  <si>
    <t>ORD00438</t>
  </si>
  <si>
    <t>ORD00060</t>
  </si>
  <si>
    <t>ORD00095</t>
  </si>
  <si>
    <t>ORD00284</t>
  </si>
  <si>
    <t>ORD00472</t>
  </si>
  <si>
    <t>ORD00212</t>
  </si>
  <si>
    <t>ORD00356</t>
  </si>
  <si>
    <t>ORD00076</t>
  </si>
  <si>
    <t>ORD00205</t>
  </si>
  <si>
    <t>ORD00232</t>
  </si>
  <si>
    <t>ORD00156</t>
  </si>
  <si>
    <t>ORD00268</t>
  </si>
  <si>
    <t>ORD00432</t>
  </si>
  <si>
    <t>ORD00320</t>
  </si>
  <si>
    <t>ORD00154</t>
  </si>
  <si>
    <t>ORD00089</t>
  </si>
  <si>
    <t>ORD00308</t>
  </si>
  <si>
    <t>ORD00229</t>
  </si>
  <si>
    <t>ORD00360</t>
  </si>
  <si>
    <t>ORD00029</t>
  </si>
  <si>
    <t>ORD00132</t>
  </si>
  <si>
    <t>ORD00468</t>
  </si>
  <si>
    <t>ORD00141</t>
  </si>
  <si>
    <t>ORD00045</t>
  </si>
  <si>
    <t>ORD00131</t>
  </si>
  <si>
    <t>ORD00264</t>
  </si>
  <si>
    <t>ORD00392</t>
  </si>
  <si>
    <t>ORD00120</t>
  </si>
  <si>
    <t>ORD00145</t>
  </si>
  <si>
    <t>ORD00422</t>
  </si>
  <si>
    <t>ORD00119</t>
  </si>
  <si>
    <t>ORD00267</t>
  </si>
  <si>
    <t>ORD00113</t>
  </si>
  <si>
    <t>ORD00122</t>
  </si>
  <si>
    <t>ORD00181</t>
  </si>
  <si>
    <t>ORD00476</t>
  </si>
  <si>
    <t>ORD00091</t>
  </si>
  <si>
    <t>ORD00225</t>
  </si>
  <si>
    <t>ORD00188</t>
  </si>
  <si>
    <t>ORD00210</t>
  </si>
  <si>
    <t>ORD00245</t>
  </si>
  <si>
    <t>ORD00377</t>
  </si>
  <si>
    <t>ORD00427</t>
  </si>
  <si>
    <t>ORD00315</t>
  </si>
  <si>
    <t>ORD00069</t>
  </si>
  <si>
    <t>ORD00071</t>
  </si>
  <si>
    <t>ORD00467</t>
  </si>
  <si>
    <t>ORD00040</t>
  </si>
  <si>
    <t>ORD00469</t>
  </si>
  <si>
    <t>ORD00063</t>
  </si>
  <si>
    <t>ORD00295</t>
  </si>
  <si>
    <t>ORD00087</t>
  </si>
  <si>
    <t>ORD00173</t>
  </si>
  <si>
    <t>ORD00500</t>
  </si>
  <si>
    <t>ORD00286</t>
  </si>
  <si>
    <t>ORD00419</t>
  </si>
  <si>
    <t>ORD00485</t>
  </si>
  <si>
    <t>ORD00206</t>
  </si>
  <si>
    <t>ORD00258</t>
  </si>
  <si>
    <t>ORD00390</t>
  </si>
  <si>
    <t>ORD00270</t>
  </si>
  <si>
    <t>ORD00402</t>
  </si>
  <si>
    <t>ORD00483</t>
  </si>
  <si>
    <t>ORD00297</t>
  </si>
  <si>
    <t>ORD00343</t>
  </si>
  <si>
    <t>ORD00027</t>
  </si>
  <si>
    <t>ORD00224</t>
  </si>
  <si>
    <t>ORD00301</t>
  </si>
  <si>
    <t>ORD00196</t>
  </si>
  <si>
    <t>ORD00492</t>
  </si>
  <si>
    <t>ORD00319</t>
  </si>
  <si>
    <t>ORD00395</t>
  </si>
  <si>
    <t>ORD00075</t>
  </si>
  <si>
    <t>ORD00144</t>
  </si>
  <si>
    <t>ORD00148</t>
  </si>
  <si>
    <t>ORD00305</t>
  </si>
  <si>
    <t>ORD00136</t>
  </si>
  <si>
    <t>ORD00353</t>
  </si>
  <si>
    <t>ORD00244</t>
  </si>
  <si>
    <t>ORD00359</t>
  </si>
  <si>
    <t>ORD00322</t>
  </si>
  <si>
    <t>ORD00051</t>
  </si>
  <si>
    <t>ORD00111</t>
  </si>
  <si>
    <t>ORD00127</t>
  </si>
  <si>
    <t>ORD00293</t>
  </si>
  <si>
    <t>ORD00009</t>
  </si>
  <si>
    <t>ORD00234</t>
  </si>
  <si>
    <t>ORD00094</t>
  </si>
  <si>
    <t>ORD00184</t>
  </si>
  <si>
    <t>ORD00042</t>
  </si>
  <si>
    <t>ORD00248</t>
  </si>
  <si>
    <t>ORD00023</t>
  </si>
  <si>
    <t>ORD00424</t>
  </si>
  <si>
    <t>ORD00164</t>
  </si>
  <si>
    <t>ORD00448</t>
  </si>
  <si>
    <t>ORD00157</t>
  </si>
  <si>
    <t>ORD00262</t>
  </si>
  <si>
    <t>ORD00010</t>
  </si>
  <si>
    <t>ORD00079</t>
  </si>
  <si>
    <t>ORD00299</t>
  </si>
  <si>
    <t>ORD00333</t>
  </si>
  <si>
    <t>ORD00486</t>
  </si>
  <si>
    <t>ORD00391</t>
  </si>
  <si>
    <t>ORD00479</t>
  </si>
  <si>
    <t>ORD00341</t>
  </si>
  <si>
    <t>ORD00012</t>
  </si>
  <si>
    <t>ORD00177</t>
  </si>
  <si>
    <t>ORD00495</t>
  </si>
  <si>
    <t>ORD00498</t>
  </si>
  <si>
    <t>ORD00220</t>
  </si>
  <si>
    <t>ORD00025</t>
  </si>
  <si>
    <t>ORD00193</t>
  </si>
  <si>
    <t>ORD00246</t>
  </si>
  <si>
    <t>ORD00340</t>
  </si>
  <si>
    <t>ORD00412</t>
  </si>
  <si>
    <t>ORD00096</t>
  </si>
  <si>
    <t>ORD00378</t>
  </si>
  <si>
    <t>ORD00068</t>
  </si>
  <si>
    <t>ORD00369</t>
  </si>
  <si>
    <t>ORD00398</t>
  </si>
  <si>
    <t>ORD00028</t>
  </si>
  <si>
    <t>ORD00328</t>
  </si>
  <si>
    <t>ORD00405</t>
  </si>
  <si>
    <t>ORD00015</t>
  </si>
  <si>
    <t>ORD00121</t>
  </si>
  <si>
    <t>ORD00321</t>
  </si>
  <si>
    <t>ORD00414</t>
  </si>
  <si>
    <t>ORD00474</t>
  </si>
  <si>
    <t>ORD00086</t>
  </si>
  <si>
    <t>ORD00158</t>
  </si>
  <si>
    <t>ORD00099</t>
  </si>
  <si>
    <t>ORD00024</t>
  </si>
  <si>
    <t>ORD00046</t>
  </si>
  <si>
    <t>ORD00170</t>
  </si>
  <si>
    <t>ORD00192</t>
  </si>
  <si>
    <t>ORD00013</t>
  </si>
  <si>
    <t>ORD00194</t>
  </si>
  <si>
    <t>ORD00261</t>
  </si>
  <si>
    <t>ORD00464</t>
  </si>
  <si>
    <t>ORD00260</t>
  </si>
  <si>
    <t>ORD00312</t>
  </si>
  <si>
    <t>ORD00477</t>
  </si>
  <si>
    <t>ORD00110</t>
  </si>
  <si>
    <t>ORD00347</t>
  </si>
  <si>
    <t>ORD00167</t>
  </si>
  <si>
    <t>ORD00171</t>
  </si>
  <si>
    <t>ORD00254</t>
  </si>
  <si>
    <t>ORD00330</t>
  </si>
  <si>
    <t>ORD00066</t>
  </si>
  <si>
    <t>ORD00238</t>
  </si>
  <si>
    <t>ORD00275</t>
  </si>
  <si>
    <t>ORD00348</t>
  </si>
  <si>
    <t>ORD00214</t>
  </si>
  <si>
    <t>ORD00199</t>
  </si>
  <si>
    <t>ORD00403</t>
  </si>
  <si>
    <t>ORD00357</t>
  </si>
  <si>
    <t>ORD00411</t>
  </si>
  <si>
    <t>ORD00143</t>
  </si>
  <si>
    <t>ORD00430</t>
  </si>
  <si>
    <t>ORD00061</t>
  </si>
  <si>
    <t>ORD00407</t>
  </si>
  <si>
    <t>ORD00006</t>
  </si>
  <si>
    <t>ORD00239</t>
  </si>
  <si>
    <t>ORD00290</t>
  </si>
  <si>
    <t>ORD00366</t>
  </si>
  <si>
    <t>ORD00436</t>
  </si>
  <si>
    <t>ORD00041</t>
  </si>
  <si>
    <t>ORD00176</t>
  </si>
  <si>
    <t>ORD00365</t>
  </si>
  <si>
    <t>ORD00147</t>
  </si>
  <si>
    <t>ORD00461</t>
  </si>
  <si>
    <t>ORD00035</t>
  </si>
  <si>
    <t>ORD00388</t>
  </si>
  <si>
    <t>ORD00241</t>
  </si>
  <si>
    <t>ORD00155</t>
  </si>
  <si>
    <t>ORD00450</t>
  </si>
  <si>
    <t>ORD00078</t>
  </si>
  <si>
    <t>ORD00441</t>
  </si>
  <si>
    <t>ORD00080</t>
  </si>
  <si>
    <t>ORD00410</t>
  </si>
  <si>
    <t>ORD00001</t>
  </si>
  <si>
    <t>ORD00125</t>
  </si>
  <si>
    <t>ORD00237</t>
  </si>
  <si>
    <t>ORD00140</t>
  </si>
  <si>
    <t>ORD00187</t>
  </si>
  <si>
    <t>ORD00288</t>
  </si>
  <si>
    <t>ORD00123</t>
  </si>
  <si>
    <t>ORD00048</t>
  </si>
  <si>
    <t>ORD00052</t>
  </si>
  <si>
    <t>ORD00385</t>
  </si>
  <si>
    <t>ORD00417</t>
  </si>
  <si>
    <t>ORD00499</t>
  </si>
  <si>
    <t>ORD00037</t>
  </si>
  <si>
    <t>ORD00362</t>
  </si>
  <si>
    <t>ORD00368</t>
  </si>
  <si>
    <t>ORD00487</t>
  </si>
  <si>
    <t>ORD00207</t>
  </si>
  <si>
    <t>ORD00475</t>
  </si>
  <si>
    <t>ORD00178</t>
  </si>
  <si>
    <t>ORD00331</t>
  </si>
  <si>
    <t>ORD00354</t>
  </si>
  <si>
    <t>ORD00484</t>
  </si>
  <si>
    <t>ORD00115</t>
  </si>
  <si>
    <t>ORD00304</t>
  </si>
  <si>
    <t>ORD00313</t>
  </si>
  <si>
    <t>ORD00325</t>
  </si>
  <si>
    <t>ORD00166</t>
  </si>
  <si>
    <t>ORD00182</t>
  </si>
  <si>
    <t>ORD00242</t>
  </si>
  <si>
    <t>ORD00036</t>
  </si>
  <si>
    <t>ORD00159</t>
  </si>
  <si>
    <t>ORD00375</t>
  </si>
  <si>
    <t>ORD00134</t>
  </si>
  <si>
    <t>ORD00223</t>
  </si>
  <si>
    <t>ORD00294</t>
  </si>
  <si>
    <t>ORD00200</t>
  </si>
  <si>
    <t>ORD00218</t>
  </si>
  <si>
    <t>ORD00349</t>
  </si>
  <si>
    <t>ORD00324</t>
  </si>
  <si>
    <t>ORD00459</t>
  </si>
  <si>
    <t>ORD00014</t>
  </si>
  <si>
    <t>ORD00055</t>
  </si>
  <si>
    <t>ORD00057</t>
  </si>
  <si>
    <t>ORD00209</t>
  </si>
  <si>
    <t>ORD00303</t>
  </si>
  <si>
    <t>ORD00344</t>
  </si>
  <si>
    <t>ORD00480</t>
  </si>
  <si>
    <t>ORD00044</t>
  </si>
  <si>
    <t>ORD00129</t>
  </si>
  <si>
    <t>ORD00271</t>
  </si>
  <si>
    <t>ORD00282</t>
  </si>
  <si>
    <t>ORD00323</t>
  </si>
  <si>
    <t>ORD00168</t>
  </si>
  <si>
    <t>ORD00285</t>
  </si>
  <si>
    <t>ORD00449</t>
  </si>
  <si>
    <t>ORD00456</t>
  </si>
  <si>
    <t>ORD00440</t>
  </si>
  <si>
    <t>Total Revenue (₹)</t>
  </si>
  <si>
    <t>Sum of Cost (₹)</t>
  </si>
  <si>
    <t>Average of Cost (₹)</t>
  </si>
  <si>
    <t>Count of Category</t>
  </si>
  <si>
    <t>AJIO SALES INSIGHTS</t>
  </si>
  <si>
    <t>TOTAL REVENUE</t>
  </si>
  <si>
    <t>TOTAL ORDERS</t>
  </si>
  <si>
    <t>TOTAL UNITS SOLD</t>
  </si>
  <si>
    <t>GROSS PROFIT</t>
  </si>
  <si>
    <t>COUNTIF('Raw Data'!B:B,"January"</t>
  </si>
  <si>
    <t xml:space="preserve"> V</t>
  </si>
  <si>
    <t>Grand Total</t>
  </si>
  <si>
    <t>PIVOT CHART TABLE</t>
  </si>
  <si>
    <t>MONTHS</t>
  </si>
  <si>
    <t>REGIONS</t>
  </si>
  <si>
    <t>BRAND</t>
  </si>
  <si>
    <t>GENDER</t>
  </si>
  <si>
    <t>Revenue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</si>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</sst>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0%"/>
    <numFmt numFmtId="167" formatCode="m/d/yyyy"/>
    <numFmt numFmtId="168" formatCode="0\%"/>
  </numFmts>
  <fonts count="28" x14ac:knownFonts="1">
    <font>
      <sz val="11"/>
      <color theme="1"/>
      <name val="Calibri"/>
      <family val="2"/>
      <charset val="1"/>
    </font>
    <font>
      <b/>
      <sz val="11"/>
      <color theme="1"/>
      <name val="Calibri"/>
      <family val="2"/>
      <charset val="1"/>
    </font>
    <font>
      <b/>
      <sz val="20"/>
      <color rgb="FFFFFFFF"/>
      <name val="Arial"/>
      <family val="2"/>
    </font>
    <font>
      <sz val="11"/>
      <color rgb="FFDDDDDD"/>
      <name val="Arial"/>
      <family val="2"/>
    </font>
    <font>
      <b/>
      <sz val="10"/>
      <color rgb="FFE8520A"/>
      <name val="Arial"/>
      <family val="2"/>
    </font>
    <font>
      <b/>
      <sz val="8"/>
      <color rgb="FFCCCCCC"/>
      <name val="Arial"/>
      <family val="2"/>
    </font>
    <font>
      <b/>
      <sz val="14"/>
      <color rgb="FFFFFFFF"/>
      <name val="Arial"/>
      <family val="2"/>
    </font>
    <font>
      <b/>
      <sz val="13"/>
      <color rgb="FFFFFFFF"/>
      <name val="Arial"/>
      <family val="2"/>
    </font>
    <font>
      <b/>
      <sz val="8"/>
      <color rgb="FFFFFFFF"/>
      <name val="Arial"/>
      <family val="2"/>
    </font>
    <font>
      <b/>
      <sz val="9"/>
      <color rgb="FFE8520A"/>
      <name val="Arial"/>
      <family val="2"/>
    </font>
    <font>
      <sz val="9"/>
      <color rgb="FFFFFFFF"/>
      <name val="Arial"/>
      <family val="2"/>
    </font>
    <font>
      <b/>
      <sz val="9"/>
      <color rgb="FF1A1A2E"/>
      <name val="Arial"/>
      <family val="2"/>
    </font>
    <font>
      <b/>
      <sz val="9"/>
      <color rgb="FF1ABC9C"/>
      <name val="Arial"/>
      <family val="2"/>
    </font>
    <font>
      <b/>
      <sz val="9"/>
      <color rgb="FF8E44AD"/>
      <name val="Arial"/>
      <family val="2"/>
    </font>
    <font>
      <b/>
      <sz val="9"/>
      <color rgb="FFF39C12"/>
      <name val="Arial"/>
      <family val="2"/>
    </font>
    <font>
      <b/>
      <sz val="11"/>
      <color rgb="FFFFFFFF"/>
      <name val="Arial"/>
      <family val="2"/>
    </font>
    <font>
      <b/>
      <sz val="11"/>
      <color rgb="FFFFFFFF"/>
      <name val="Arial"/>
      <family val="2"/>
      <charset val="1"/>
    </font>
    <font>
      <sz val="10"/>
      <color rgb="FF333333"/>
      <name val="Arial"/>
      <family val="2"/>
    </font>
    <font>
      <sz val="11"/>
      <color theme="1"/>
      <name val="Calibri"/>
      <family val="2"/>
      <charset val="1"/>
    </font>
    <font>
      <b/>
      <sz val="11"/>
      <color theme="1"/>
      <name val="Calibri"/>
      <family val="2"/>
    </font>
    <font>
      <b/>
      <sz val="20"/>
      <color theme="1"/>
      <name val="Calibri"/>
      <family val="2"/>
      <charset val="1"/>
    </font>
    <font>
      <b/>
      <sz val="20"/>
      <color theme="1"/>
      <name val="Calibri"/>
      <family val="2"/>
    </font>
    <font>
      <sz val="20"/>
      <color theme="1"/>
      <name val="Calibri"/>
      <family val="2"/>
    </font>
    <font>
      <b/>
      <sz val="22"/>
      <color theme="1"/>
      <name val="Calibri"/>
      <family val="2"/>
    </font>
    <font>
      <b/>
      <sz val="36"/>
      <color theme="1"/>
      <name val="Calibri"/>
      <family val="2"/>
    </font>
    <font>
      <b/>
      <sz val="28"/>
      <color theme="1"/>
      <name val="Bookman Old Style"/>
      <family val="1"/>
    </font>
    <font>
      <b/>
      <sz val="20"/>
      <name val="Calibri"/>
      <family val="2"/>
    </font>
    <font>
      <sz val="26"/>
      <color theme="1"/>
      <name val="Book Antiqua"/>
      <family val="1"/>
    </font>
  </fonts>
  <fills count="32">
    <fill>
      <patternFill patternType="none"/>
    </fill>
    <fill>
      <patternFill patternType="gray125"/>
    </fill>
    <fill>
      <patternFill patternType="solid">
        <fgColor rgb="FFE8520A"/>
        <bgColor rgb="FFE74C3C"/>
      </patternFill>
    </fill>
    <fill>
      <patternFill patternType="solid">
        <fgColor rgb="FF0F3460"/>
        <bgColor rgb="FF16213E"/>
      </patternFill>
    </fill>
    <fill>
      <patternFill patternType="solid">
        <fgColor rgb="FF1A1A2E"/>
        <bgColor rgb="FF16213E"/>
      </patternFill>
    </fill>
    <fill>
      <patternFill patternType="solid">
        <fgColor rgb="FF3498DB"/>
        <bgColor rgb="FF4BACC6"/>
      </patternFill>
    </fill>
    <fill>
      <patternFill patternType="solid">
        <fgColor rgb="FF27AE60"/>
        <bgColor rgb="FF1ABC9C"/>
      </patternFill>
    </fill>
    <fill>
      <patternFill patternType="solid">
        <fgColor rgb="FF8E44AD"/>
        <bgColor rgb="FF8064A2"/>
      </patternFill>
    </fill>
    <fill>
      <patternFill patternType="solid">
        <fgColor rgb="FF1ABC9C"/>
        <bgColor rgb="FF27AE60"/>
      </patternFill>
    </fill>
    <fill>
      <patternFill patternType="solid">
        <fgColor rgb="FFF39C12"/>
        <bgColor rgb="FFF79646"/>
      </patternFill>
    </fill>
    <fill>
      <patternFill patternType="solid">
        <fgColor rgb="FFE74C3C"/>
        <bgColor rgb="FFE94560"/>
      </patternFill>
    </fill>
    <fill>
      <patternFill patternType="solid">
        <fgColor rgb="FF16213E"/>
        <bgColor rgb="FF1A1A2E"/>
      </patternFill>
    </fill>
    <fill>
      <patternFill patternType="solid">
        <fgColor rgb="FFFFFFFF"/>
        <bgColor rgb="FFF5F5F5"/>
      </patternFill>
    </fill>
    <fill>
      <patternFill patternType="solid">
        <fgColor rgb="FFF5F5F5"/>
        <bgColor rgb="FFF2F2F2"/>
      </patternFill>
    </fill>
    <fill>
      <patternFill patternType="solid">
        <fgColor theme="7" tint="-0.49998474074526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rgb="FFFF7C8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CCECE"/>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8" fillId="0" borderId="0" applyBorder="0" applyProtection="0"/>
    <xf numFmtId="0" fontId="18" fillId="0" borderId="0" applyBorder="0" applyProtection="0"/>
    <xf numFmtId="0" fontId="18" fillId="0" borderId="0" applyBorder="0" applyProtection="0"/>
    <xf numFmtId="0" fontId="18" fillId="0" borderId="0" applyBorder="0" applyProtection="0">
      <alignment horizontal="left"/>
    </xf>
    <xf numFmtId="0" fontId="1" fillId="0" borderId="0" applyBorder="0" applyProtection="0">
      <alignment horizontal="left"/>
    </xf>
    <xf numFmtId="0" fontId="1" fillId="0" borderId="0" applyBorder="0" applyProtection="0"/>
  </cellStyleXfs>
  <cellXfs count="111">
    <xf numFmtId="0" fontId="0" fillId="0" borderId="0" xfId="0"/>
    <xf numFmtId="0" fontId="0" fillId="4" borderId="0" xfId="0" applyFill="1"/>
    <xf numFmtId="0" fontId="8" fillId="5" borderId="0" xfId="0" applyFont="1" applyFill="1" applyAlignment="1">
      <alignment horizontal="center" vertical="center"/>
    </xf>
    <xf numFmtId="0" fontId="8" fillId="8" borderId="0" xfId="0" applyFont="1" applyFill="1" applyAlignment="1">
      <alignment horizontal="center" vertical="center"/>
    </xf>
    <xf numFmtId="0" fontId="9" fillId="11" borderId="0" xfId="0" applyFont="1" applyFill="1" applyAlignment="1">
      <alignment horizontal="center" vertical="center"/>
    </xf>
    <xf numFmtId="2" fontId="10" fillId="11" borderId="0" xfId="0" applyNumberFormat="1" applyFont="1" applyFill="1" applyAlignment="1">
      <alignment horizontal="center" vertical="center"/>
    </xf>
    <xf numFmtId="0" fontId="9" fillId="3" borderId="0" xfId="0" applyFont="1" applyFill="1" applyAlignment="1">
      <alignment horizontal="center" vertical="center"/>
    </xf>
    <xf numFmtId="2" fontId="10" fillId="3" borderId="0" xfId="0" applyNumberFormat="1" applyFont="1" applyFill="1" applyAlignment="1">
      <alignment horizontal="center" vertical="center"/>
    </xf>
    <xf numFmtId="167" fontId="0" fillId="0" borderId="0" xfId="0" applyNumberFormat="1"/>
    <xf numFmtId="0" fontId="15" fillId="4" borderId="1" xfId="0" applyFont="1" applyFill="1" applyBorder="1" applyAlignment="1">
      <alignment horizontal="center" vertical="center"/>
    </xf>
    <xf numFmtId="167" fontId="15" fillId="4" borderId="1" xfId="0" applyNumberFormat="1" applyFont="1" applyFill="1" applyBorder="1" applyAlignment="1">
      <alignment horizontal="center" vertical="center"/>
    </xf>
    <xf numFmtId="0" fontId="16" fillId="4" borderId="1" xfId="0" applyFont="1" applyFill="1" applyBorder="1" applyAlignment="1">
      <alignment horizontal="center" vertical="center"/>
    </xf>
    <xf numFmtId="0" fontId="17" fillId="12" borderId="1" xfId="0" applyFont="1" applyFill="1" applyBorder="1" applyAlignment="1">
      <alignment horizontal="center" vertical="center"/>
    </xf>
    <xf numFmtId="167" fontId="17" fillId="12" borderId="1" xfId="0" applyNumberFormat="1" applyFont="1" applyFill="1" applyBorder="1" applyAlignment="1">
      <alignment horizontal="left" vertical="center"/>
    </xf>
    <xf numFmtId="0" fontId="17" fillId="12" borderId="1" xfId="0" applyFont="1" applyFill="1" applyBorder="1" applyAlignment="1">
      <alignment horizontal="left" vertical="center"/>
    </xf>
    <xf numFmtId="164" fontId="17" fillId="12" borderId="1" xfId="0" applyNumberFormat="1" applyFont="1" applyFill="1" applyBorder="1" applyAlignment="1">
      <alignment horizontal="center" vertical="center"/>
    </xf>
    <xf numFmtId="168" fontId="17" fillId="12" borderId="1" xfId="0" applyNumberFormat="1" applyFont="1" applyFill="1" applyBorder="1" applyAlignment="1">
      <alignment horizontal="center" vertical="center"/>
    </xf>
    <xf numFmtId="165" fontId="17" fillId="12" borderId="1" xfId="0" applyNumberFormat="1" applyFont="1" applyFill="1" applyBorder="1" applyAlignment="1">
      <alignment horizontal="center" vertical="center"/>
    </xf>
    <xf numFmtId="0" fontId="17" fillId="13" borderId="1" xfId="0" applyFont="1" applyFill="1" applyBorder="1" applyAlignment="1">
      <alignment horizontal="center" vertical="center"/>
    </xf>
    <xf numFmtId="167" fontId="17" fillId="13" borderId="1" xfId="0" applyNumberFormat="1" applyFont="1" applyFill="1" applyBorder="1" applyAlignment="1">
      <alignment horizontal="left" vertical="center"/>
    </xf>
    <xf numFmtId="0" fontId="17" fillId="13" borderId="1" xfId="0" applyFont="1" applyFill="1" applyBorder="1" applyAlignment="1">
      <alignment horizontal="left" vertical="center"/>
    </xf>
    <xf numFmtId="164" fontId="17" fillId="13" borderId="1" xfId="0" applyNumberFormat="1" applyFont="1" applyFill="1" applyBorder="1" applyAlignment="1">
      <alignment horizontal="center" vertical="center"/>
    </xf>
    <xf numFmtId="168" fontId="17" fillId="13" borderId="1" xfId="0" applyNumberFormat="1" applyFont="1" applyFill="1" applyBorder="1" applyAlignment="1">
      <alignment horizontal="center" vertical="center"/>
    </xf>
    <xf numFmtId="165" fontId="17" fillId="13" borderId="1" xfId="0" applyNumberFormat="1" applyFont="1" applyFill="1" applyBorder="1" applyAlignment="1">
      <alignment horizontal="center" vertical="center"/>
    </xf>
    <xf numFmtId="0" fontId="19" fillId="14" borderId="0" xfId="0" applyFont="1" applyFill="1"/>
    <xf numFmtId="0" fontId="0" fillId="14" borderId="0" xfId="0" applyFill="1"/>
    <xf numFmtId="0" fontId="22" fillId="14" borderId="0" xfId="0" applyFont="1" applyFill="1"/>
    <xf numFmtId="0" fontId="21" fillId="14" borderId="0" xfId="0" applyFont="1" applyFill="1"/>
    <xf numFmtId="0" fontId="21" fillId="23" borderId="3" xfId="0" applyFont="1" applyFill="1" applyBorder="1"/>
    <xf numFmtId="0" fontId="21" fillId="27" borderId="3" xfId="0" applyFont="1" applyFill="1" applyBorder="1" applyAlignment="1">
      <alignment horizontal="center"/>
    </xf>
    <xf numFmtId="0" fontId="19" fillId="24" borderId="0" xfId="0" applyFont="1" applyFill="1"/>
    <xf numFmtId="0" fontId="0" fillId="24" borderId="0" xfId="0" applyFill="1"/>
    <xf numFmtId="14" fontId="0" fillId="0" borderId="0" xfId="0" applyNumberFormat="1"/>
    <xf numFmtId="0" fontId="1" fillId="31" borderId="0" xfId="0" applyFont="1" applyFill="1"/>
    <xf numFmtId="0" fontId="1" fillId="31" borderId="0" xfId="0" applyFont="1" applyFill="1" applyAlignment="1">
      <alignment horizontal="left"/>
    </xf>
    <xf numFmtId="0" fontId="1" fillId="31" borderId="0" xfId="0" applyNumberFormat="1" applyFont="1" applyFill="1"/>
    <xf numFmtId="0" fontId="1" fillId="29" borderId="0" xfId="0" applyFont="1" applyFill="1"/>
    <xf numFmtId="0" fontId="1" fillId="29" borderId="0" xfId="0" applyFont="1" applyFill="1" applyAlignment="1">
      <alignment horizontal="left"/>
    </xf>
    <xf numFmtId="0" fontId="1" fillId="29" borderId="0" xfId="0" applyNumberFormat="1" applyFont="1" applyFill="1"/>
    <xf numFmtId="0" fontId="1" fillId="21" borderId="0" xfId="0" applyFont="1" applyFill="1"/>
    <xf numFmtId="0" fontId="1" fillId="21" borderId="0" xfId="0" applyFont="1" applyFill="1" applyAlignment="1">
      <alignment horizontal="left"/>
    </xf>
    <xf numFmtId="0" fontId="1" fillId="21" borderId="0" xfId="0" applyNumberFormat="1" applyFont="1" applyFill="1"/>
    <xf numFmtId="0" fontId="1" fillId="30" borderId="0" xfId="0" applyFont="1" applyFill="1"/>
    <xf numFmtId="0" fontId="1" fillId="30" borderId="0" xfId="0" applyFont="1" applyFill="1" applyAlignment="1">
      <alignment horizontal="left"/>
    </xf>
    <xf numFmtId="0" fontId="1" fillId="30" borderId="0" xfId="0" applyNumberFormat="1" applyFont="1" applyFill="1"/>
    <xf numFmtId="0" fontId="1" fillId="20" borderId="0" xfId="0" applyFont="1" applyFill="1"/>
    <xf numFmtId="0" fontId="1" fillId="20" borderId="0" xfId="0" applyFont="1" applyFill="1" applyAlignment="1">
      <alignment horizontal="left"/>
    </xf>
    <xf numFmtId="0" fontId="1" fillId="20" borderId="0" xfId="0" applyNumberFormat="1" applyFont="1" applyFill="1"/>
    <xf numFmtId="0" fontId="1" fillId="22" borderId="0" xfId="0" applyFont="1" applyFill="1"/>
    <xf numFmtId="0" fontId="1" fillId="22" borderId="0" xfId="0" applyFont="1" applyFill="1" applyAlignment="1">
      <alignment horizontal="left"/>
    </xf>
    <xf numFmtId="0" fontId="1" fillId="22" borderId="0" xfId="0" applyNumberFormat="1" applyFont="1" applyFill="1"/>
    <xf numFmtId="0" fontId="14" fillId="3" borderId="0" xfId="0" applyFont="1" applyFill="1" applyBorder="1" applyAlignment="1">
      <alignment horizontal="center" vertical="center"/>
    </xf>
    <xf numFmtId="3" fontId="10" fillId="3" borderId="0" xfId="0" applyNumberFormat="1" applyFont="1" applyFill="1" applyBorder="1" applyAlignment="1">
      <alignment horizontal="center" vertical="center"/>
    </xf>
    <xf numFmtId="164" fontId="10" fillId="3" borderId="0" xfId="0" applyNumberFormat="1" applyFont="1" applyFill="1" applyBorder="1" applyAlignment="1">
      <alignment horizontal="center" vertical="center"/>
    </xf>
    <xf numFmtId="0" fontId="14" fillId="11" borderId="0" xfId="0" applyFont="1" applyFill="1" applyBorder="1" applyAlignment="1">
      <alignment horizontal="center" vertical="center"/>
    </xf>
    <xf numFmtId="3" fontId="10" fillId="11" borderId="0" xfId="0" applyNumberFormat="1" applyFont="1" applyFill="1" applyBorder="1" applyAlignment="1">
      <alignment horizontal="center" vertical="center"/>
    </xf>
    <xf numFmtId="164" fontId="10" fillId="11" borderId="0" xfId="0" applyNumberFormat="1" applyFont="1" applyFill="1" applyBorder="1" applyAlignment="1">
      <alignment horizontal="center" vertical="center"/>
    </xf>
    <xf numFmtId="0" fontId="13" fillId="11" borderId="0" xfId="0" applyFont="1" applyFill="1" applyBorder="1" applyAlignment="1">
      <alignment horizontal="center" vertical="center"/>
    </xf>
    <xf numFmtId="166" fontId="10" fillId="11" borderId="0" xfId="0" applyNumberFormat="1" applyFont="1" applyFill="1" applyBorder="1" applyAlignment="1">
      <alignment horizontal="center" vertical="center"/>
    </xf>
    <xf numFmtId="0" fontId="13" fillId="3" borderId="0" xfId="0" applyFont="1" applyFill="1" applyBorder="1" applyAlignment="1">
      <alignment horizontal="center" vertical="center"/>
    </xf>
    <xf numFmtId="166" fontId="10" fillId="3" borderId="0" xfId="0" applyNumberFormat="1" applyFont="1" applyFill="1" applyBorder="1" applyAlignment="1">
      <alignment horizontal="center" vertical="center"/>
    </xf>
    <xf numFmtId="0" fontId="4" fillId="4" borderId="0" xfId="0" applyFont="1" applyFill="1" applyBorder="1" applyAlignment="1">
      <alignment horizontal="left" vertical="center"/>
    </xf>
    <xf numFmtId="0" fontId="8" fillId="7" borderId="0" xfId="0" applyFont="1" applyFill="1" applyBorder="1" applyAlignment="1">
      <alignment horizontal="center" vertical="center"/>
    </xf>
    <xf numFmtId="0" fontId="8" fillId="9" borderId="0" xfId="0" applyFont="1" applyFill="1" applyBorder="1" applyAlignment="1">
      <alignment horizontal="center" vertical="center"/>
    </xf>
    <xf numFmtId="0" fontId="12" fillId="11" borderId="0" xfId="0" applyFont="1" applyFill="1" applyBorder="1" applyAlignment="1">
      <alignment horizontal="center" vertical="center"/>
    </xf>
    <xf numFmtId="0" fontId="12" fillId="3" borderId="0" xfId="0" applyFont="1" applyFill="1" applyBorder="1" applyAlignment="1">
      <alignment horizontal="center" vertical="center"/>
    </xf>
    <xf numFmtId="2" fontId="11" fillId="2" borderId="0" xfId="0" applyNumberFormat="1" applyFont="1" applyFill="1" applyBorder="1" applyAlignment="1">
      <alignment horizontal="center" vertical="center"/>
    </xf>
    <xf numFmtId="0" fontId="8" fillId="5" borderId="0" xfId="0" applyFont="1" applyFill="1" applyBorder="1" applyAlignment="1">
      <alignment horizontal="center" vertical="center"/>
    </xf>
    <xf numFmtId="0" fontId="8" fillId="8" borderId="0" xfId="0" applyFont="1" applyFill="1" applyBorder="1" applyAlignment="1">
      <alignment horizontal="center" vertical="center"/>
    </xf>
    <xf numFmtId="0" fontId="11" fillId="2" borderId="0" xfId="0" applyFont="1" applyFill="1" applyBorder="1" applyAlignment="1">
      <alignment horizontal="center" vertical="center"/>
    </xf>
    <xf numFmtId="3" fontId="11" fillId="2" borderId="0" xfId="0" applyNumberFormat="1" applyFont="1" applyFill="1" applyBorder="1" applyAlignment="1">
      <alignment horizontal="center" vertical="center"/>
    </xf>
    <xf numFmtId="164" fontId="11" fillId="2" borderId="0" xfId="0" applyNumberFormat="1" applyFont="1" applyFill="1" applyBorder="1" applyAlignment="1">
      <alignment horizontal="center" vertical="center"/>
    </xf>
    <xf numFmtId="166" fontId="11" fillId="2" borderId="0" xfId="0" applyNumberFormat="1" applyFont="1" applyFill="1" applyBorder="1" applyAlignment="1">
      <alignment horizontal="center" vertical="center"/>
    </xf>
    <xf numFmtId="2" fontId="10" fillId="11" borderId="0" xfId="0" applyNumberFormat="1" applyFont="1" applyFill="1" applyBorder="1" applyAlignment="1">
      <alignment horizontal="center" vertical="center"/>
    </xf>
    <xf numFmtId="0" fontId="9" fillId="3" borderId="0" xfId="0" applyFont="1" applyFill="1" applyBorder="1" applyAlignment="1">
      <alignment horizontal="center" vertical="center"/>
    </xf>
    <xf numFmtId="2" fontId="10" fillId="3" borderId="0" xfId="0" applyNumberFormat="1" applyFont="1" applyFill="1" applyBorder="1" applyAlignment="1">
      <alignment horizontal="center" vertical="center"/>
    </xf>
    <xf numFmtId="0" fontId="9" fillId="11" borderId="0" xfId="0" applyFont="1" applyFill="1" applyBorder="1" applyAlignment="1">
      <alignment horizontal="center" vertical="center"/>
    </xf>
    <xf numFmtId="10" fontId="7" fillId="11" borderId="0" xfId="0" applyNumberFormat="1" applyFont="1" applyFill="1" applyBorder="1" applyAlignment="1">
      <alignment horizontal="center" vertical="center"/>
    </xf>
    <xf numFmtId="164" fontId="7" fillId="11" borderId="0" xfId="0" applyNumberFormat="1" applyFont="1" applyFill="1" applyBorder="1" applyAlignment="1">
      <alignment horizontal="center" vertical="center"/>
    </xf>
    <xf numFmtId="165" fontId="7" fillId="11" borderId="0" xfId="0" applyNumberFormat="1" applyFont="1" applyFill="1" applyBorder="1" applyAlignment="1">
      <alignment horizontal="center" vertical="center"/>
    </xf>
    <xf numFmtId="0" fontId="8" fillId="2" borderId="0" xfId="0" applyFont="1" applyFill="1" applyBorder="1" applyAlignment="1">
      <alignment horizontal="center" vertical="center"/>
    </xf>
    <xf numFmtId="164" fontId="6" fillId="11" borderId="0" xfId="0" applyNumberFormat="1" applyFont="1" applyFill="1" applyBorder="1" applyAlignment="1">
      <alignment horizontal="center" vertical="center"/>
    </xf>
    <xf numFmtId="3" fontId="6" fillId="11" borderId="0" xfId="0" applyNumberFormat="1" applyFont="1" applyFill="1" applyBorder="1" applyAlignment="1">
      <alignment horizontal="center" vertical="center"/>
    </xf>
    <xf numFmtId="2" fontId="6" fillId="11" borderId="0" xfId="0" applyNumberFormat="1" applyFont="1" applyFill="1" applyBorder="1" applyAlignment="1">
      <alignment horizontal="center" vertical="center"/>
    </xf>
    <xf numFmtId="0" fontId="5" fillId="6" borderId="0" xfId="0" applyFont="1" applyFill="1" applyBorder="1" applyAlignment="1">
      <alignment horizontal="center" vertical="center"/>
    </xf>
    <xf numFmtId="0" fontId="5" fillId="5" borderId="0" xfId="0" applyFont="1" applyFill="1" applyBorder="1" applyAlignment="1">
      <alignment horizontal="center" vertical="center"/>
    </xf>
    <xf numFmtId="0" fontId="5" fillId="10" borderId="0" xfId="0" applyFont="1" applyFill="1" applyBorder="1" applyAlignment="1">
      <alignment horizontal="center" vertical="center"/>
    </xf>
    <xf numFmtId="0" fontId="5" fillId="9" borderId="0" xfId="0" applyFont="1" applyFill="1" applyBorder="1" applyAlignment="1">
      <alignment horizontal="center" vertical="center"/>
    </xf>
    <xf numFmtId="0" fontId="5" fillId="8" borderId="0" xfId="0" applyFont="1" applyFill="1" applyBorder="1" applyAlignment="1">
      <alignment horizontal="center" vertical="center"/>
    </xf>
    <xf numFmtId="0" fontId="5" fillId="7" borderId="0" xfId="0" applyFont="1" applyFill="1" applyBorder="1" applyAlignment="1">
      <alignment horizontal="center" vertical="center"/>
    </xf>
    <xf numFmtId="0" fontId="5" fillId="2" borderId="0" xfId="0" applyFont="1" applyFill="1" applyBorder="1" applyAlignment="1">
      <alignment horizontal="center" vertical="center"/>
    </xf>
    <xf numFmtId="0" fontId="2" fillId="2" borderId="0" xfId="0" applyFont="1" applyFill="1" applyBorder="1" applyAlignment="1">
      <alignment horizontal="center" vertical="center"/>
    </xf>
    <xf numFmtId="0" fontId="3" fillId="3" borderId="0" xfId="0" applyFont="1" applyFill="1" applyBorder="1" applyAlignment="1">
      <alignment horizontal="center" vertical="center"/>
    </xf>
    <xf numFmtId="0" fontId="27" fillId="28" borderId="0" xfId="0" applyFont="1" applyFill="1" applyAlignment="1">
      <alignment horizontal="center"/>
    </xf>
    <xf numFmtId="164" fontId="20" fillId="19" borderId="2" xfId="0" applyNumberFormat="1" applyFont="1" applyFill="1" applyBorder="1" applyAlignment="1">
      <alignment horizontal="center"/>
    </xf>
    <xf numFmtId="164" fontId="20" fillId="19" borderId="4" xfId="0" applyNumberFormat="1" applyFont="1" applyFill="1" applyBorder="1" applyAlignment="1">
      <alignment horizontal="center"/>
    </xf>
    <xf numFmtId="3" fontId="26" fillId="17" borderId="2" xfId="0" applyNumberFormat="1" applyFont="1" applyFill="1" applyBorder="1" applyAlignment="1">
      <alignment horizontal="center"/>
    </xf>
    <xf numFmtId="3" fontId="26" fillId="17" borderId="4" xfId="0" applyNumberFormat="1" applyFont="1" applyFill="1" applyBorder="1" applyAlignment="1">
      <alignment horizontal="center"/>
    </xf>
    <xf numFmtId="3" fontId="21" fillId="25" borderId="2" xfId="0" applyNumberFormat="1" applyFont="1" applyFill="1" applyBorder="1" applyAlignment="1">
      <alignment horizontal="center"/>
    </xf>
    <xf numFmtId="3" fontId="21" fillId="25" borderId="4" xfId="0" applyNumberFormat="1" applyFont="1" applyFill="1" applyBorder="1" applyAlignment="1">
      <alignment horizontal="center"/>
    </xf>
    <xf numFmtId="164" fontId="21" fillId="26" borderId="3" xfId="0" applyNumberFormat="1" applyFont="1" applyFill="1" applyBorder="1" applyAlignment="1">
      <alignment horizontal="center"/>
    </xf>
    <xf numFmtId="0" fontId="25" fillId="15" borderId="0" xfId="0" applyFont="1" applyFill="1" applyBorder="1" applyAlignment="1">
      <alignment horizontal="center"/>
    </xf>
    <xf numFmtId="0" fontId="24" fillId="15" borderId="0" xfId="0" applyFont="1" applyFill="1" applyBorder="1" applyAlignment="1">
      <alignment horizontal="center"/>
    </xf>
    <xf numFmtId="0" fontId="23" fillId="16" borderId="2" xfId="0" applyFont="1" applyFill="1" applyBorder="1" applyAlignment="1">
      <alignment horizontal="center"/>
    </xf>
    <xf numFmtId="0" fontId="23" fillId="16" borderId="4" xfId="0" applyFont="1" applyFill="1" applyBorder="1" applyAlignment="1">
      <alignment horizontal="center"/>
    </xf>
    <xf numFmtId="0" fontId="21" fillId="18" borderId="2" xfId="0" applyFont="1" applyFill="1" applyBorder="1" applyAlignment="1">
      <alignment horizontal="center"/>
    </xf>
    <xf numFmtId="0" fontId="21" fillId="18" borderId="4" xfId="0" applyFont="1" applyFill="1" applyBorder="1" applyAlignment="1">
      <alignment horizontal="center"/>
    </xf>
    <xf numFmtId="0" fontId="21" fillId="20" borderId="2" xfId="0" applyFont="1" applyFill="1" applyBorder="1" applyAlignment="1">
      <alignment horizontal="center"/>
    </xf>
    <xf numFmtId="0" fontId="21" fillId="20" borderId="4" xfId="0" applyFont="1" applyFill="1" applyBorder="1" applyAlignment="1">
      <alignment horizontal="center"/>
    </xf>
    <xf numFmtId="0" fontId="21" fillId="21" borderId="2" xfId="0" applyFont="1" applyFill="1" applyBorder="1" applyAlignment="1">
      <alignment horizontal="center"/>
    </xf>
    <xf numFmtId="0" fontId="21" fillId="21" borderId="4" xfId="0" applyFont="1" applyFill="1" applyBorder="1" applyAlignment="1">
      <alignment horizontal="center"/>
    </xf>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231">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8" tint="0.59999389629810485"/>
        </patternFill>
      </fill>
    </dxf>
    <dxf>
      <font>
        <b/>
      </font>
    </dxf>
    <dxf>
      <fill>
        <patternFill>
          <bgColor theme="2" tint="-0.249977111117893"/>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font>
    </dxf>
    <dxf>
      <font>
        <b/>
      </font>
    </dxf>
    <dxf>
      <font>
        <b/>
      </font>
    </dxf>
    <dxf>
      <font>
        <b/>
      </font>
    </dxf>
    <dxf>
      <font>
        <b/>
      </font>
    </dxf>
    <dxf>
      <font>
        <b/>
      </font>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b/>
      </font>
    </dxf>
    <dxf>
      <font>
        <b/>
      </font>
    </dxf>
    <dxf>
      <font>
        <b/>
      </font>
    </dxf>
    <dxf>
      <font>
        <b/>
      </font>
    </dxf>
    <dxf>
      <font>
        <b/>
      </font>
    </dxf>
    <dxf>
      <font>
        <b/>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b/>
      </font>
    </dxf>
    <dxf>
      <font>
        <b/>
      </font>
    </dxf>
    <dxf>
      <font>
        <b/>
      </font>
    </dxf>
    <dxf>
      <font>
        <b/>
      </font>
    </dxf>
    <dxf>
      <font>
        <b/>
      </font>
    </dxf>
    <dxf>
      <font>
        <b/>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ont>
        <b/>
      </font>
    </dxf>
    <dxf>
      <font>
        <b/>
      </font>
    </dxf>
    <dxf>
      <font>
        <b/>
      </font>
    </dxf>
    <dxf>
      <font>
        <b/>
      </font>
    </dxf>
    <dxf>
      <font>
        <b/>
      </font>
    </dxf>
    <dxf>
      <font>
        <b/>
      </font>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font>
    </dxf>
    <dxf>
      <font>
        <b/>
      </font>
    </dxf>
    <dxf>
      <font>
        <b/>
      </font>
    </dxf>
    <dxf>
      <font>
        <b/>
      </font>
    </dxf>
    <dxf>
      <font>
        <b/>
      </font>
    </dxf>
    <dxf>
      <font>
        <b/>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b/>
      </font>
    </dxf>
    <dxf>
      <font>
        <b/>
      </font>
    </dxf>
    <dxf>
      <font>
        <b/>
      </font>
    </dxf>
    <dxf>
      <font>
        <b/>
      </font>
    </dxf>
    <dxf>
      <font>
        <b/>
      </font>
    </dxf>
    <dxf>
      <font>
        <b/>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font>
    </dxf>
    <dxf>
      <font>
        <b/>
      </font>
    </dxf>
    <dxf>
      <font>
        <b/>
      </font>
    </dxf>
    <dxf>
      <font>
        <b/>
      </font>
    </dxf>
    <dxf>
      <font>
        <b/>
      </font>
    </dxf>
    <dxf>
      <font>
        <b/>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2" tint="-0.249977111117893"/>
        </patternFill>
      </fill>
    </dxf>
    <dxf>
      <font>
        <b/>
      </font>
    </dxf>
    <dxf>
      <fill>
        <patternFill>
          <bgColor theme="8"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ont>
        <b/>
      </font>
    </dxf>
    <dxf>
      <font>
        <b/>
      </font>
    </dxf>
    <dxf>
      <font>
        <b/>
      </font>
    </dxf>
    <dxf>
      <font>
        <b/>
      </font>
    </dxf>
    <dxf>
      <font>
        <b/>
      </font>
    </dxf>
    <dxf>
      <font>
        <b/>
      </font>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bgColor rgb="FFCCCECE"/>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9" formatCode="dd/mm/yyyy"/>
    </dxf>
  </dxfs>
  <tableStyles count="0" defaultTableStyle="TableStyleMedium2" defaultPivotStyle="PivotStyleLight16"/>
  <colors>
    <indexedColors>
      <rgbColor rgb="FF000000"/>
      <rgbColor rgb="FFFFFFFF"/>
      <rgbColor rgb="FFE94560"/>
      <rgbColor rgb="FF00FF00"/>
      <rgbColor rgb="FF0000FF"/>
      <rgbColor rgb="FFFFFF00"/>
      <rgbColor rgb="FFFF00FF"/>
      <rgbColor rgb="FF00FFFF"/>
      <rgbColor rgb="FFE8520A"/>
      <rgbColor rgb="FF008000"/>
      <rgbColor rgb="FF1A1A2E"/>
      <rgbColor rgb="FF595959"/>
      <rgbColor rgb="FF800080"/>
      <rgbColor rgb="FF2980B9"/>
      <rgbColor rgb="FFBFBFBF"/>
      <rgbColor rgb="FF808080"/>
      <rgbColor rgb="FF4BACC6"/>
      <rgbColor rgb="FF8E44AD"/>
      <rgbColor rgb="FFF5F5F5"/>
      <rgbColor rgb="FFF2F2F2"/>
      <rgbColor rgb="FF660066"/>
      <rgbColor rgb="FFF79646"/>
      <rgbColor rgb="FF0066CC"/>
      <rgbColor rgb="FFCCCCCC"/>
      <rgbColor rgb="FF000080"/>
      <rgbColor rgb="FFFF00FF"/>
      <rgbColor rgb="FFFFFF00"/>
      <rgbColor rgb="FF00FFFF"/>
      <rgbColor rgb="FF800080"/>
      <rgbColor rgb="FF800000"/>
      <rgbColor rgb="FF3498DB"/>
      <rgbColor rgb="FF0000FF"/>
      <rgbColor rgb="FF00CCFF"/>
      <rgbColor rgb="FFCCFFFF"/>
      <rgbColor rgb="FFDDDDDD"/>
      <rgbColor rgb="FFFFFF99"/>
      <rgbColor rgb="FFB3B3B3"/>
      <rgbColor rgb="FFE74C3C"/>
      <rgbColor rgb="FFCC99FF"/>
      <rgbColor rgb="FFD9D9D9"/>
      <rgbColor rgb="FF4F81BD"/>
      <rgbColor rgb="FF1ABC9C"/>
      <rgbColor rgb="FF9BBB59"/>
      <rgbColor rgb="FFFFCC00"/>
      <rgbColor rgb="FFF39C12"/>
      <rgbColor rgb="FFFF6B2C"/>
      <rgbColor rgb="FF8064A2"/>
      <rgbColor rgb="FF888888"/>
      <rgbColor rgb="FF0F3460"/>
      <rgbColor rgb="FF27AE60"/>
      <rgbColor rgb="FF16213E"/>
      <rgbColor rgb="FF404040"/>
      <rgbColor rgb="FF772C2A"/>
      <rgbColor rgb="FFC0504D"/>
      <rgbColor rgb="FF2C4D75"/>
      <rgbColor rgb="FF333333"/>
      <rgbColor rgb="00003366"/>
      <rgbColor rgb="00339966"/>
      <rgbColor rgb="00003300"/>
      <rgbColor rgb="00333300"/>
      <rgbColor rgb="00993300"/>
      <rgbColor rgb="00993366"/>
      <rgbColor rgb="00333399"/>
      <rgbColor rgb="00333333"/>
    </indexedColors>
    <mruColors>
      <color rgb="FFFF7C80"/>
      <color rgb="FFCCCECE"/>
      <color rgb="FFE0E3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[AJIO_Sales_Analytics MANSII.xlsx]PIVOT TABLE!PivotTable1</c:name>
    <c:fmtId val="3"/>
  </c:pivotSource>
  <c:chart>
    <c:title>
      <c:tx>
        <c:rich>
          <a:bodyPr rot="0" spcFirstLastPara="1" vertOverflow="ellipsis" vert="horz" wrap="square" anchor="ctr" anchorCtr="1"/>
          <a:lstStyle/>
          <a:p>
            <a:pPr algn="ctr">
              <a:defRPr sz="1600" b="1" i="0"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20000"/>
                    <a:lumOff val="80000"/>
                    <a:alpha val="86000"/>
                  </a:schemeClr>
                </a:solidFill>
                <a:effectLst>
                  <a:glow rad="1905000">
                    <a:schemeClr val="accent5">
                      <a:lumMod val="50000"/>
                      <a:alpha val="32000"/>
                    </a:schemeClr>
                  </a:glow>
                  <a:outerShdw blurRad="50800" dist="38100" dir="5400000" algn="t" rotWithShape="0">
                    <a:schemeClr val="accent1">
                      <a:alpha val="0"/>
                    </a:schemeClr>
                  </a:outerShdw>
                </a:effectLst>
                <a:latin typeface="+mn-lt"/>
                <a:ea typeface="+mn-ea"/>
                <a:cs typeface="+mn-cs"/>
              </a:defRPr>
            </a:pPr>
            <a:r>
              <a:rPr lang="en-US">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20000"/>
                    <a:lumOff val="80000"/>
                    <a:alpha val="86000"/>
                  </a:schemeClr>
                </a:solidFill>
                <a:effectLst>
                  <a:glow rad="1905000">
                    <a:schemeClr val="accent5">
                      <a:lumMod val="50000"/>
                      <a:alpha val="32000"/>
                    </a:schemeClr>
                  </a:glow>
                  <a:outerShdw blurRad="50800" dist="38100" dir="5400000" algn="t" rotWithShape="0">
                    <a:schemeClr val="accent1">
                      <a:alpha val="0"/>
                    </a:schemeClr>
                  </a:outerShdw>
                </a:effectLst>
              </a:rPr>
              <a:t>Total  SUM OF MONTH</a:t>
            </a:r>
          </a:p>
          <a:p>
            <a:pPr algn="ct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20000"/>
                    <a:lumOff val="80000"/>
                    <a:alpha val="86000"/>
                  </a:schemeClr>
                </a:solidFill>
                <a:effectLst>
                  <a:glow rad="1905000">
                    <a:schemeClr val="accent5">
                      <a:lumMod val="50000"/>
                      <a:alpha val="32000"/>
                    </a:schemeClr>
                  </a:glow>
                  <a:outerShdw blurRad="50800" dist="38100" dir="5400000" algn="t" rotWithShape="0">
                    <a:schemeClr val="accent1">
                      <a:alpha val="0"/>
                    </a:schemeClr>
                  </a:outerShdw>
                </a:effectLst>
              </a:defRPr>
            </a:pPr>
            <a:endParaRPr lang="en-US">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20000"/>
                  <a:lumOff val="80000"/>
                  <a:alpha val="86000"/>
                </a:schemeClr>
              </a:solidFill>
              <a:effectLst>
                <a:glow rad="1905000">
                  <a:schemeClr val="accent5">
                    <a:lumMod val="50000"/>
                    <a:alpha val="32000"/>
                  </a:schemeClr>
                </a:glow>
                <a:outerShdw blurRad="50800" dist="38100" dir="5400000" algn="t" rotWithShape="0">
                  <a:schemeClr val="accent1">
                    <a:alpha val="0"/>
                  </a:schemeClr>
                </a:outerShdw>
              </a:effectLst>
            </a:endParaRPr>
          </a:p>
        </c:rich>
      </c:tx>
      <c:layout>
        <c:manualLayout>
          <c:xMode val="edge"/>
          <c:yMode val="edge"/>
          <c:x val="0.30335321383678016"/>
          <c:y val="0.11257000865700732"/>
        </c:manualLayout>
      </c:layout>
      <c:overlay val="0"/>
      <c:spPr>
        <a:noFill/>
        <a:ln>
          <a:noFill/>
        </a:ln>
        <a:effectLst>
          <a:glow rad="228600">
            <a:schemeClr val="accent4">
              <a:satMod val="175000"/>
              <a:alpha val="40000"/>
            </a:schemeClr>
          </a:glow>
          <a:softEdge rad="127000"/>
        </a:effectLst>
      </c:spPr>
      <c:txPr>
        <a:bodyPr rot="0" spcFirstLastPara="1" vertOverflow="ellipsis" vert="horz" wrap="square" anchor="ctr" anchorCtr="1"/>
        <a:lstStyle/>
        <a:p>
          <a:pPr algn="ctr">
            <a:defRPr sz="1600" b="1" i="0"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20000"/>
                  <a:lumOff val="80000"/>
                  <a:alpha val="86000"/>
                </a:schemeClr>
              </a:solidFill>
              <a:effectLst>
                <a:glow rad="1905000">
                  <a:schemeClr val="accent5">
                    <a:lumMod val="50000"/>
                    <a:alpha val="32000"/>
                  </a:schemeClr>
                </a:glow>
                <a:outerShdw blurRad="50800" dist="38100" dir="5400000" algn="t" rotWithShape="0">
                  <a:schemeClr val="accent1">
                    <a:alpha val="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c:f>
              <c:strCache>
                <c:ptCount val="1"/>
                <c:pt idx="0">
                  <c:v>Total</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TABLE'!$B$5:$B$18</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TABLE'!$C$5:$C$18</c:f>
              <c:numCache>
                <c:formatCode>General</c:formatCode>
                <c:ptCount val="13"/>
                <c:pt idx="0">
                  <c:v>235262</c:v>
                </c:pt>
                <c:pt idx="1">
                  <c:v>432204</c:v>
                </c:pt>
                <c:pt idx="2">
                  <c:v>279518</c:v>
                </c:pt>
                <c:pt idx="3">
                  <c:v>387890</c:v>
                </c:pt>
                <c:pt idx="4">
                  <c:v>515722</c:v>
                </c:pt>
                <c:pt idx="5">
                  <c:v>238575</c:v>
                </c:pt>
                <c:pt idx="6">
                  <c:v>533333</c:v>
                </c:pt>
                <c:pt idx="7">
                  <c:v>407751</c:v>
                </c:pt>
                <c:pt idx="8">
                  <c:v>441714</c:v>
                </c:pt>
                <c:pt idx="9">
                  <c:v>421290</c:v>
                </c:pt>
                <c:pt idx="10">
                  <c:v>405336</c:v>
                </c:pt>
                <c:pt idx="11">
                  <c:v>556262</c:v>
                </c:pt>
              </c:numCache>
            </c:numRef>
          </c:val>
          <c:smooth val="0"/>
          <c:extLst>
            <c:ext xmlns:c16="http://schemas.microsoft.com/office/drawing/2014/chart" uri="{C3380CC4-5D6E-409C-BE32-E72D297353CC}">
              <c16:uniqueId val="{00000000-34D7-4E18-A9D8-1107CE7AD772}"/>
            </c:ext>
          </c:extLst>
        </c:ser>
        <c:dLbls>
          <c:dLblPos val="ctr"/>
          <c:showLegendKey val="0"/>
          <c:showVal val="1"/>
          <c:showCatName val="0"/>
          <c:showSerName val="0"/>
          <c:showPercent val="0"/>
          <c:showBubbleSize val="0"/>
        </c:dLbls>
        <c:marker val="1"/>
        <c:smooth val="0"/>
        <c:axId val="604172688"/>
        <c:axId val="604172208"/>
      </c:lineChart>
      <c:catAx>
        <c:axId val="6041726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ahnschrift Condensed" panose="020B0502040204020203" pitchFamily="34" charset="0"/>
                <a:ea typeface="+mn-ea"/>
                <a:cs typeface="+mn-cs"/>
              </a:defRPr>
            </a:pPr>
            <a:endParaRPr lang="en-US"/>
          </a:p>
        </c:txPr>
        <c:crossAx val="604172208"/>
        <c:crosses val="autoZero"/>
        <c:auto val="1"/>
        <c:lblAlgn val="ctr"/>
        <c:lblOffset val="100"/>
        <c:noMultiLvlLbl val="0"/>
      </c:catAx>
      <c:valAx>
        <c:axId val="604172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417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a:noFill/>
    </a:ln>
    <a:effectLst>
      <a:glow rad="12700">
        <a:schemeClr val="accent5">
          <a:lumMod val="75000"/>
          <a:alpha val="0"/>
        </a:schemeClr>
      </a:glow>
      <a:outerShdw blurRad="50800" dist="50800" dir="5400000" sx="14000" sy="14000" algn="ctr" rotWithShape="0">
        <a:schemeClr val="accent5">
          <a:lumMod val="75000"/>
        </a:schemeClr>
      </a:outerShdw>
      <a:softEdge rad="0"/>
    </a:effectLst>
    <a:scene3d>
      <a:camera prst="orthographicFront"/>
      <a:lightRig rig="threePt" dir="t"/>
    </a:scene3d>
    <a:sp3d>
      <a:bevelT prst="convex"/>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[AJIO_Sales_Analytics MANSII.xlsx]PIVOT TABLE!PivotTable3</c:name>
    <c:fmtId val="4"/>
  </c:pivotSource>
  <c:chart>
    <c:title>
      <c:tx>
        <c:rich>
          <a:bodyPr rot="0" spcFirstLastPara="1" vertOverflow="ellipsis" vert="horz" wrap="square" anchor="ctr" anchorCtr="1"/>
          <a:lstStyle/>
          <a:p>
            <a:pPr>
              <a:defRPr sz="1800" b="1" i="0" u="none" strike="noStrike" kern="1200" baseline="0">
                <a:ln>
                  <a:noFill/>
                </a:ln>
                <a:solidFill>
                  <a:schemeClr val="accent3">
                    <a:lumMod val="50000"/>
                  </a:schemeClr>
                </a:solidFill>
                <a:effectLst>
                  <a:glow rad="63500">
                    <a:schemeClr val="accent3">
                      <a:alpha val="40000"/>
                    </a:schemeClr>
                  </a:glow>
                  <a:outerShdw blurRad="1270000" dist="50800" dir="5400000" algn="ctr" rotWithShape="0">
                    <a:schemeClr val="accent3"/>
                  </a:outerShdw>
                </a:effectLst>
                <a:latin typeface="+mn-lt"/>
                <a:ea typeface="+mn-ea"/>
                <a:cs typeface="+mn-cs"/>
              </a:defRPr>
            </a:pPr>
            <a:r>
              <a:rPr lang="en-US">
                <a:ln>
                  <a:noFill/>
                </a:ln>
                <a:solidFill>
                  <a:schemeClr val="accent3">
                    <a:lumMod val="50000"/>
                  </a:schemeClr>
                </a:solidFill>
                <a:effectLst>
                  <a:glow rad="63500">
                    <a:schemeClr val="accent3">
                      <a:alpha val="40000"/>
                    </a:schemeClr>
                  </a:glow>
                  <a:outerShdw blurRad="1270000" dist="50800" dir="5400000" algn="ctr" rotWithShape="0">
                    <a:schemeClr val="accent3"/>
                  </a:outerShdw>
                </a:effectLst>
              </a:rPr>
              <a:t>TOTAL</a:t>
            </a:r>
            <a:r>
              <a:rPr lang="en-US" baseline="0">
                <a:ln>
                  <a:noFill/>
                </a:ln>
                <a:solidFill>
                  <a:schemeClr val="accent3">
                    <a:lumMod val="50000"/>
                  </a:schemeClr>
                </a:solidFill>
                <a:effectLst>
                  <a:glow rad="63500">
                    <a:schemeClr val="accent3">
                      <a:alpha val="40000"/>
                    </a:schemeClr>
                  </a:glow>
                  <a:outerShdw blurRad="1270000" dist="50800" dir="5400000" algn="ctr" rotWithShape="0">
                    <a:schemeClr val="accent3"/>
                  </a:outerShdw>
                </a:effectLst>
              </a:rPr>
              <a:t> SUM OF REGIONS</a:t>
            </a:r>
            <a:endParaRPr lang="en-US">
              <a:ln>
                <a:noFill/>
              </a:ln>
              <a:solidFill>
                <a:schemeClr val="accent3">
                  <a:lumMod val="50000"/>
                </a:schemeClr>
              </a:solidFill>
              <a:effectLst>
                <a:glow rad="63500">
                  <a:schemeClr val="accent3">
                    <a:alpha val="40000"/>
                  </a:schemeClr>
                </a:glow>
                <a:outerShdw blurRad="1270000" dist="50800" dir="5400000" algn="ctr" rotWithShape="0">
                  <a:schemeClr val="accent3"/>
                </a:outerShdw>
              </a:effectLst>
            </a:endParaRPr>
          </a:p>
        </c:rich>
      </c:tx>
      <c:overlay val="0"/>
      <c:spPr>
        <a:solidFill>
          <a:schemeClr val="accent3"/>
        </a:solidFill>
        <a:ln>
          <a:solidFill>
            <a:schemeClr val="accent1">
              <a:alpha val="93000"/>
            </a:schemeClr>
          </a:solidFill>
        </a:ln>
        <a:effectLst/>
        <a:scene3d>
          <a:camera prst="orthographicFront"/>
          <a:lightRig rig="threePt" dir="t"/>
        </a:scene3d>
        <a:sp3d>
          <a:bevelT/>
        </a:sp3d>
      </c:spPr>
      <c:txPr>
        <a:bodyPr rot="0" spcFirstLastPara="1" vertOverflow="ellipsis" vert="horz" wrap="square" anchor="ctr" anchorCtr="1"/>
        <a:lstStyle/>
        <a:p>
          <a:pPr>
            <a:defRPr sz="1800" b="1" i="0" u="none" strike="noStrike" kern="1200" baseline="0">
              <a:ln>
                <a:noFill/>
              </a:ln>
              <a:solidFill>
                <a:schemeClr val="accent3">
                  <a:lumMod val="50000"/>
                </a:schemeClr>
              </a:solidFill>
              <a:effectLst>
                <a:glow rad="63500">
                  <a:schemeClr val="accent3">
                    <a:alpha val="40000"/>
                  </a:schemeClr>
                </a:glow>
                <a:outerShdw blurRad="1270000" dist="50800" dir="5400000" algn="ctr" rotWithShape="0">
                  <a:schemeClr val="accent3"/>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TABLE'!$I$4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4E-4824-AD2F-2C9993B7C7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4E-4824-AD2F-2C9993B7C75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A4E-4824-AD2F-2C9993B7C75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A4E-4824-AD2F-2C9993B7C75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A4E-4824-AD2F-2C9993B7C752}"/>
              </c:ext>
            </c:extLst>
          </c:dPt>
          <c:dPt>
            <c:idx val="5"/>
            <c:bubble3D val="0"/>
            <c:spPr>
              <a:solidFill>
                <a:schemeClr val="accent6"/>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TABLE'!$H$5:$H$11</c:f>
              <c:strCache>
                <c:ptCount val="6"/>
                <c:pt idx="0">
                  <c:v>North</c:v>
                </c:pt>
                <c:pt idx="1">
                  <c:v>South</c:v>
                </c:pt>
                <c:pt idx="2">
                  <c:v>East</c:v>
                </c:pt>
                <c:pt idx="3">
                  <c:v>West</c:v>
                </c:pt>
                <c:pt idx="4">
                  <c:v>Central</c:v>
                </c:pt>
                <c:pt idx="5">
                  <c:v>(blank)</c:v>
                </c:pt>
              </c:strCache>
            </c:strRef>
          </c:cat>
          <c:val>
            <c:numRef>
              <c:f>'PIVOT TABLE'!$I$5:$I$11</c:f>
              <c:numCache>
                <c:formatCode>General</c:formatCode>
                <c:ptCount val="6"/>
                <c:pt idx="0">
                  <c:v>1020753</c:v>
                </c:pt>
                <c:pt idx="1">
                  <c:v>1010751</c:v>
                </c:pt>
                <c:pt idx="2">
                  <c:v>827285</c:v>
                </c:pt>
                <c:pt idx="3">
                  <c:v>1009056</c:v>
                </c:pt>
                <c:pt idx="4">
                  <c:v>987012</c:v>
                </c:pt>
              </c:numCache>
            </c:numRef>
          </c:val>
          <c:extLst>
            <c:ext xmlns:c16="http://schemas.microsoft.com/office/drawing/2014/chart" uri="{C3380CC4-5D6E-409C-BE32-E72D297353CC}">
              <c16:uniqueId val="{00000000-7150-407A-8D06-1BE2FD441F9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9525" cap="flat" cmpd="sng" algn="ctr">
      <a:solidFill>
        <a:schemeClr val="dk1">
          <a:lumMod val="25000"/>
          <a:lumOff val="75000"/>
        </a:schemeClr>
      </a:solidFill>
      <a:round/>
    </a:ln>
    <a:effectLst>
      <a:outerShdw blurRad="50800" dir="5400000" algn="ctr" rotWithShape="0">
        <a:srgbClr val="000000">
          <a:alpha val="0"/>
        </a:srgbClr>
      </a:outerShdw>
      <a:softEdge rad="635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[AJIO_Sales_Analytics MANSII.xlsx]PIVOT TABLE!PivotTable6</c:name>
    <c:fmtId val="3"/>
  </c:pivotSource>
  <c:chart>
    <c:title>
      <c:tx>
        <c:rich>
          <a:bodyPr rot="0" spcFirstLastPara="1" vertOverflow="ellipsis" vert="horz" wrap="square" anchor="ctr" anchorCtr="1"/>
          <a:lstStyle/>
          <a:p>
            <a:pPr>
              <a:defRPr sz="1800" b="0" i="0" u="none" strike="noStrike" kern="1200" cap="all" baseline="0">
                <a:solidFill>
                  <a:schemeClr val="lt1"/>
                </a:solidFill>
                <a:effectLst>
                  <a:outerShdw dist="50800" sx="101000" sy="101000" algn="ctr" rotWithShape="0">
                    <a:srgbClr val="000000"/>
                  </a:outerShdw>
                  <a:reflection blurRad="6350" stA="19000" endPos="60000" dist="60007" dir="5400000" sy="-100000" algn="bl" rotWithShape="0"/>
                </a:effectLst>
                <a:latin typeface="+mn-lt"/>
                <a:ea typeface="+mn-ea"/>
                <a:cs typeface="+mn-cs"/>
              </a:defRPr>
            </a:pPr>
            <a:r>
              <a:rPr lang="en-IN" b="1">
                <a:effectLst>
                  <a:outerShdw dist="50800" sx="101000" sy="101000" algn="ctr" rotWithShape="0">
                    <a:srgbClr val="000000"/>
                  </a:outerShdw>
                  <a:reflection blurRad="6350" stA="19000" endPos="60000" dist="60007" dir="5400000" sy="-100000" algn="bl" rotWithShape="0"/>
                </a:effectLst>
              </a:rPr>
              <a:t>TOTAL COUNT OF CATEGORY</a:t>
            </a:r>
          </a:p>
          <a:p>
            <a:pPr>
              <a:defRPr>
                <a:effectLst>
                  <a:outerShdw dist="50800" sx="101000" sy="101000" algn="ctr" rotWithShape="0">
                    <a:srgbClr val="000000"/>
                  </a:outerShdw>
                  <a:reflection blurRad="6350" stA="19000" endPos="60000" dist="60007" dir="5400000" sy="-100000" algn="bl" rotWithShape="0"/>
                </a:effectLst>
              </a:defRPr>
            </a:pPr>
            <a:endParaRPr lang="en-IN">
              <a:effectLst>
                <a:outerShdw dist="50800" sx="101000" sy="101000" algn="ctr" rotWithShape="0">
                  <a:srgbClr val="000000"/>
                </a:outerShdw>
                <a:reflection blurRad="6350" stA="19000" endPos="60000" dist="60007" dir="5400000" sy="-100000" algn="bl" rotWithShape="0"/>
              </a:effectLst>
            </a:endParaRPr>
          </a:p>
        </c:rich>
      </c:tx>
      <c:layout>
        <c:manualLayout>
          <c:xMode val="edge"/>
          <c:yMode val="edge"/>
          <c:x val="0.19068390607434579"/>
          <c:y val="0.12243124367556991"/>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effectLst>
                <a:outerShdw dist="50800" sx="101000" sy="101000" algn="ctr" rotWithShape="0">
                  <a:srgbClr val="000000"/>
                </a:outerShdw>
                <a:reflection blurRad="6350" stA="19000" endPos="60000" dist="60007" dir="5400000" sy="-100000" algn="bl" rotWithShape="0"/>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9BBB59">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8064A2">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dLbl>
          <c:idx val="0"/>
          <c:spPr>
            <a:solidFill>
              <a:srgbClr val="4BAC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F7964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lumMod val="60000"/>
              </a:schemeClr>
            </a:solidFill>
            <a:ln w="9525">
              <a:solidFill>
                <a:schemeClr val="dk1">
                  <a:lumMod val="75000"/>
                  <a:lumOff val="25000"/>
                </a:schemeClr>
              </a:solidFill>
            </a:ln>
            <a:effectLst/>
          </c:spPr>
        </c:marker>
        <c:dLbl>
          <c:idx val="0"/>
          <c:spPr>
            <a:solidFill>
              <a:srgbClr val="4F81BD">
                <a:lumMod val="60000"/>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lumMod val="60000"/>
              </a:schemeClr>
            </a:solidFill>
            <a:ln w="9525">
              <a:solidFill>
                <a:schemeClr val="dk1">
                  <a:lumMod val="75000"/>
                  <a:lumOff val="25000"/>
                </a:schemeClr>
              </a:solidFill>
            </a:ln>
            <a:effectLst/>
          </c:spPr>
        </c:marker>
        <c:dLbl>
          <c:idx val="0"/>
          <c:spPr>
            <a:solidFill>
              <a:srgbClr val="C0504D">
                <a:lumMod val="60000"/>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TABLE'!$C$21:$C$22</c:f>
              <c:strCache>
                <c:ptCount val="1"/>
                <c:pt idx="0">
                  <c:v>Accessories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TABLE'!$B$23:$B$27</c:f>
              <c:strCache>
                <c:ptCount val="4"/>
                <c:pt idx="0">
                  <c:v>Female</c:v>
                </c:pt>
                <c:pt idx="1">
                  <c:v>Male</c:v>
                </c:pt>
                <c:pt idx="2">
                  <c:v>Unisex</c:v>
                </c:pt>
                <c:pt idx="3">
                  <c:v>(blank)</c:v>
                </c:pt>
              </c:strCache>
            </c:strRef>
          </c:cat>
          <c:val>
            <c:numRef>
              <c:f>'PIVOT TABLE'!$C$23:$C$27</c:f>
              <c:numCache>
                <c:formatCode>General</c:formatCode>
                <c:ptCount val="4"/>
                <c:pt idx="0">
                  <c:v>21</c:v>
                </c:pt>
                <c:pt idx="1">
                  <c:v>22</c:v>
                </c:pt>
                <c:pt idx="2">
                  <c:v>25</c:v>
                </c:pt>
              </c:numCache>
            </c:numRef>
          </c:val>
          <c:extLst>
            <c:ext xmlns:c16="http://schemas.microsoft.com/office/drawing/2014/chart" uri="{C3380CC4-5D6E-409C-BE32-E72D297353CC}">
              <c16:uniqueId val="{00000000-B2CD-49E2-89CF-FF35DE215139}"/>
            </c:ext>
          </c:extLst>
        </c:ser>
        <c:ser>
          <c:idx val="1"/>
          <c:order val="1"/>
          <c:tx>
            <c:strRef>
              <c:f>'PIVOT TABLE'!$D$21:$D$22</c:f>
              <c:strCache>
                <c:ptCount val="1"/>
                <c:pt idx="0">
                  <c:v>Beauty</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TABLE'!$B$23:$B$27</c:f>
              <c:strCache>
                <c:ptCount val="4"/>
                <c:pt idx="0">
                  <c:v>Female</c:v>
                </c:pt>
                <c:pt idx="1">
                  <c:v>Male</c:v>
                </c:pt>
                <c:pt idx="2">
                  <c:v>Unisex</c:v>
                </c:pt>
                <c:pt idx="3">
                  <c:v>(blank)</c:v>
                </c:pt>
              </c:strCache>
            </c:strRef>
          </c:cat>
          <c:val>
            <c:numRef>
              <c:f>'PIVOT TABLE'!$D$23:$D$27</c:f>
              <c:numCache>
                <c:formatCode>General</c:formatCode>
                <c:ptCount val="4"/>
                <c:pt idx="0">
                  <c:v>28</c:v>
                </c:pt>
                <c:pt idx="1">
                  <c:v>21</c:v>
                </c:pt>
                <c:pt idx="2">
                  <c:v>30</c:v>
                </c:pt>
              </c:numCache>
            </c:numRef>
          </c:val>
          <c:extLst>
            <c:ext xmlns:c16="http://schemas.microsoft.com/office/drawing/2014/chart" uri="{C3380CC4-5D6E-409C-BE32-E72D297353CC}">
              <c16:uniqueId val="{00000007-BC7B-484E-BAC6-321F5A883FEB}"/>
            </c:ext>
          </c:extLst>
        </c:ser>
        <c:ser>
          <c:idx val="2"/>
          <c:order val="2"/>
          <c:tx>
            <c:strRef>
              <c:f>'PIVOT TABLE'!$E$21:$E$22</c:f>
              <c:strCache>
                <c:ptCount val="1"/>
                <c:pt idx="0">
                  <c:v>Clothing</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9BBB59">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TABLE'!$B$23:$B$27</c:f>
              <c:strCache>
                <c:ptCount val="4"/>
                <c:pt idx="0">
                  <c:v>Female</c:v>
                </c:pt>
                <c:pt idx="1">
                  <c:v>Male</c:v>
                </c:pt>
                <c:pt idx="2">
                  <c:v>Unisex</c:v>
                </c:pt>
                <c:pt idx="3">
                  <c:v>(blank)</c:v>
                </c:pt>
              </c:strCache>
            </c:strRef>
          </c:cat>
          <c:val>
            <c:numRef>
              <c:f>'PIVOT TABLE'!$E$23:$E$27</c:f>
              <c:numCache>
                <c:formatCode>General</c:formatCode>
                <c:ptCount val="4"/>
                <c:pt idx="0">
                  <c:v>22</c:v>
                </c:pt>
                <c:pt idx="1">
                  <c:v>22</c:v>
                </c:pt>
                <c:pt idx="2">
                  <c:v>16</c:v>
                </c:pt>
              </c:numCache>
            </c:numRef>
          </c:val>
          <c:extLst>
            <c:ext xmlns:c16="http://schemas.microsoft.com/office/drawing/2014/chart" uri="{C3380CC4-5D6E-409C-BE32-E72D297353CC}">
              <c16:uniqueId val="{00000008-BC7B-484E-BAC6-321F5A883FEB}"/>
            </c:ext>
          </c:extLst>
        </c:ser>
        <c:ser>
          <c:idx val="3"/>
          <c:order val="3"/>
          <c:tx>
            <c:strRef>
              <c:f>'PIVOT TABLE'!$F$21:$F$22</c:f>
              <c:strCache>
                <c:ptCount val="1"/>
                <c:pt idx="0">
                  <c:v>Footwear</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8064A2">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TABLE'!$B$23:$B$27</c:f>
              <c:strCache>
                <c:ptCount val="4"/>
                <c:pt idx="0">
                  <c:v>Female</c:v>
                </c:pt>
                <c:pt idx="1">
                  <c:v>Male</c:v>
                </c:pt>
                <c:pt idx="2">
                  <c:v>Unisex</c:v>
                </c:pt>
                <c:pt idx="3">
                  <c:v>(blank)</c:v>
                </c:pt>
              </c:strCache>
            </c:strRef>
          </c:cat>
          <c:val>
            <c:numRef>
              <c:f>'PIVOT TABLE'!$F$23:$F$27</c:f>
              <c:numCache>
                <c:formatCode>General</c:formatCode>
                <c:ptCount val="4"/>
                <c:pt idx="0">
                  <c:v>18</c:v>
                </c:pt>
                <c:pt idx="1">
                  <c:v>29</c:v>
                </c:pt>
                <c:pt idx="2">
                  <c:v>17</c:v>
                </c:pt>
              </c:numCache>
            </c:numRef>
          </c:val>
          <c:extLst>
            <c:ext xmlns:c16="http://schemas.microsoft.com/office/drawing/2014/chart" uri="{C3380CC4-5D6E-409C-BE32-E72D297353CC}">
              <c16:uniqueId val="{00000009-BC7B-484E-BAC6-321F5A883FEB}"/>
            </c:ext>
          </c:extLst>
        </c:ser>
        <c:ser>
          <c:idx val="4"/>
          <c:order val="4"/>
          <c:tx>
            <c:strRef>
              <c:f>'PIVOT TABLE'!$G$21:$G$22</c:f>
              <c:strCache>
                <c:ptCount val="1"/>
                <c:pt idx="0">
                  <c:v>Home &amp; Living</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4BAC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TABLE'!$B$23:$B$27</c:f>
              <c:strCache>
                <c:ptCount val="4"/>
                <c:pt idx="0">
                  <c:v>Female</c:v>
                </c:pt>
                <c:pt idx="1">
                  <c:v>Male</c:v>
                </c:pt>
                <c:pt idx="2">
                  <c:v>Unisex</c:v>
                </c:pt>
                <c:pt idx="3">
                  <c:v>(blank)</c:v>
                </c:pt>
              </c:strCache>
            </c:strRef>
          </c:cat>
          <c:val>
            <c:numRef>
              <c:f>'PIVOT TABLE'!$G$23:$G$27</c:f>
              <c:numCache>
                <c:formatCode>General</c:formatCode>
                <c:ptCount val="4"/>
                <c:pt idx="0">
                  <c:v>19</c:v>
                </c:pt>
                <c:pt idx="1">
                  <c:v>33</c:v>
                </c:pt>
                <c:pt idx="2">
                  <c:v>22</c:v>
                </c:pt>
              </c:numCache>
            </c:numRef>
          </c:val>
          <c:extLst>
            <c:ext xmlns:c16="http://schemas.microsoft.com/office/drawing/2014/chart" uri="{C3380CC4-5D6E-409C-BE32-E72D297353CC}">
              <c16:uniqueId val="{0000000A-BC7B-484E-BAC6-321F5A883FEB}"/>
            </c:ext>
          </c:extLst>
        </c:ser>
        <c:ser>
          <c:idx val="5"/>
          <c:order val="5"/>
          <c:tx>
            <c:strRef>
              <c:f>'PIVOT TABLE'!$H$21:$H$22</c:f>
              <c:strCache>
                <c:ptCount val="1"/>
                <c:pt idx="0">
                  <c:v>Kids</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F7964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TABLE'!$B$23:$B$27</c:f>
              <c:strCache>
                <c:ptCount val="4"/>
                <c:pt idx="0">
                  <c:v>Female</c:v>
                </c:pt>
                <c:pt idx="1">
                  <c:v>Male</c:v>
                </c:pt>
                <c:pt idx="2">
                  <c:v>Unisex</c:v>
                </c:pt>
                <c:pt idx="3">
                  <c:v>(blank)</c:v>
                </c:pt>
              </c:strCache>
            </c:strRef>
          </c:cat>
          <c:val>
            <c:numRef>
              <c:f>'PIVOT TABLE'!$H$23:$H$27</c:f>
              <c:numCache>
                <c:formatCode>General</c:formatCode>
                <c:ptCount val="4"/>
                <c:pt idx="0">
                  <c:v>27</c:v>
                </c:pt>
                <c:pt idx="1">
                  <c:v>28</c:v>
                </c:pt>
                <c:pt idx="2">
                  <c:v>28</c:v>
                </c:pt>
              </c:numCache>
            </c:numRef>
          </c:val>
          <c:extLst>
            <c:ext xmlns:c16="http://schemas.microsoft.com/office/drawing/2014/chart" uri="{C3380CC4-5D6E-409C-BE32-E72D297353CC}">
              <c16:uniqueId val="{0000000B-BC7B-484E-BAC6-321F5A883FEB}"/>
            </c:ext>
          </c:extLst>
        </c:ser>
        <c:ser>
          <c:idx val="6"/>
          <c:order val="6"/>
          <c:tx>
            <c:strRef>
              <c:f>'PIVOT TABLE'!$I$21:$I$22</c:f>
              <c:strCache>
                <c:ptCount val="1"/>
                <c:pt idx="0">
                  <c:v>Sports</c:v>
                </c:pt>
              </c:strCache>
            </c:strRef>
          </c:tx>
          <c:spPr>
            <a:solidFill>
              <a:schemeClr val="accent1">
                <a:lumMod val="60000"/>
                <a:alpha val="88000"/>
              </a:schemeClr>
            </a:solidFill>
            <a:ln>
              <a:solidFill>
                <a:schemeClr val="accent1">
                  <a:lumMod val="60000"/>
                  <a:lumMod val="50000"/>
                </a:schemeClr>
              </a:solidFill>
            </a:ln>
            <a:effectLst/>
            <a:scene3d>
              <a:camera prst="orthographicFront"/>
              <a:lightRig rig="threePt" dir="t"/>
            </a:scene3d>
            <a:sp3d prstMaterial="flat">
              <a:contourClr>
                <a:schemeClr val="accent1">
                  <a:lumMod val="60000"/>
                  <a:lumMod val="50000"/>
                </a:schemeClr>
              </a:contourClr>
            </a:sp3d>
          </c:spPr>
          <c:invertIfNegative val="0"/>
          <c:dLbls>
            <c:spPr>
              <a:solidFill>
                <a:srgbClr val="4F81BD">
                  <a:lumMod val="60000"/>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TABLE'!$B$23:$B$27</c:f>
              <c:strCache>
                <c:ptCount val="4"/>
                <c:pt idx="0">
                  <c:v>Female</c:v>
                </c:pt>
                <c:pt idx="1">
                  <c:v>Male</c:v>
                </c:pt>
                <c:pt idx="2">
                  <c:v>Unisex</c:v>
                </c:pt>
                <c:pt idx="3">
                  <c:v>(blank)</c:v>
                </c:pt>
              </c:strCache>
            </c:strRef>
          </c:cat>
          <c:val>
            <c:numRef>
              <c:f>'PIVOT TABLE'!$I$23:$I$27</c:f>
              <c:numCache>
                <c:formatCode>General</c:formatCode>
                <c:ptCount val="4"/>
                <c:pt idx="0">
                  <c:v>27</c:v>
                </c:pt>
                <c:pt idx="1">
                  <c:v>25</c:v>
                </c:pt>
                <c:pt idx="2">
                  <c:v>20</c:v>
                </c:pt>
              </c:numCache>
            </c:numRef>
          </c:val>
          <c:extLst>
            <c:ext xmlns:c16="http://schemas.microsoft.com/office/drawing/2014/chart" uri="{C3380CC4-5D6E-409C-BE32-E72D297353CC}">
              <c16:uniqueId val="{0000000C-BC7B-484E-BAC6-321F5A883FEB}"/>
            </c:ext>
          </c:extLst>
        </c:ser>
        <c:ser>
          <c:idx val="7"/>
          <c:order val="7"/>
          <c:tx>
            <c:strRef>
              <c:f>'PIVOT TABLE'!$J$21:$J$22</c:f>
              <c:strCache>
                <c:ptCount val="1"/>
                <c:pt idx="0">
                  <c:v>(blank)</c:v>
                </c:pt>
              </c:strCache>
            </c:strRef>
          </c:tx>
          <c:spPr>
            <a:solidFill>
              <a:schemeClr val="accent2">
                <a:lumMod val="60000"/>
                <a:alpha val="88000"/>
              </a:schemeClr>
            </a:solidFill>
            <a:ln>
              <a:solidFill>
                <a:schemeClr val="accent2">
                  <a:lumMod val="60000"/>
                  <a:lumMod val="50000"/>
                </a:schemeClr>
              </a:solidFill>
            </a:ln>
            <a:effectLst/>
            <a:scene3d>
              <a:camera prst="orthographicFront"/>
              <a:lightRig rig="threePt" dir="t"/>
            </a:scene3d>
            <a:sp3d prstMaterial="flat">
              <a:contourClr>
                <a:schemeClr val="accent2">
                  <a:lumMod val="60000"/>
                  <a:lumMod val="50000"/>
                </a:schemeClr>
              </a:contourClr>
            </a:sp3d>
          </c:spPr>
          <c:invertIfNegative val="0"/>
          <c:dLbls>
            <c:delete val="1"/>
          </c:dLbls>
          <c:cat>
            <c:strRef>
              <c:f>'PIVOT TABLE'!$B$23:$B$27</c:f>
              <c:strCache>
                <c:ptCount val="4"/>
                <c:pt idx="0">
                  <c:v>Female</c:v>
                </c:pt>
                <c:pt idx="1">
                  <c:v>Male</c:v>
                </c:pt>
                <c:pt idx="2">
                  <c:v>Unisex</c:v>
                </c:pt>
                <c:pt idx="3">
                  <c:v>(blank)</c:v>
                </c:pt>
              </c:strCache>
            </c:strRef>
          </c:cat>
          <c:val>
            <c:numRef>
              <c:f>'PIVOT TABLE'!$J$23:$J$27</c:f>
              <c:numCache>
                <c:formatCode>General</c:formatCode>
                <c:ptCount val="4"/>
              </c:numCache>
            </c:numRef>
          </c:val>
          <c:extLst>
            <c:ext xmlns:c16="http://schemas.microsoft.com/office/drawing/2014/chart" uri="{C3380CC4-5D6E-409C-BE32-E72D297353CC}">
              <c16:uniqueId val="{0000000D-BC7B-484E-BAC6-321F5A883FEB}"/>
            </c:ext>
          </c:extLst>
        </c:ser>
        <c:dLbls>
          <c:showLegendKey val="0"/>
          <c:showVal val="1"/>
          <c:showCatName val="0"/>
          <c:showSerName val="0"/>
          <c:showPercent val="0"/>
          <c:showBubbleSize val="0"/>
        </c:dLbls>
        <c:gapWidth val="84"/>
        <c:gapDepth val="53"/>
        <c:shape val="box"/>
        <c:axId val="864703728"/>
        <c:axId val="864698448"/>
        <c:axId val="0"/>
      </c:bar3DChart>
      <c:catAx>
        <c:axId val="86470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698448"/>
        <c:crosses val="autoZero"/>
        <c:auto val="1"/>
        <c:lblAlgn val="ctr"/>
        <c:lblOffset val="100"/>
        <c:noMultiLvlLbl val="0"/>
      </c:catAx>
      <c:valAx>
        <c:axId val="864698448"/>
        <c:scaling>
          <c:orientation val="minMax"/>
        </c:scaling>
        <c:delete val="1"/>
        <c:axPos val="l"/>
        <c:numFmt formatCode="General" sourceLinked="1"/>
        <c:majorTickMark val="out"/>
        <c:minorTickMark val="none"/>
        <c:tickLblPos val="nextTo"/>
        <c:crossAx val="86470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[AJIO_Sales_Analytics MANSII.xlsx]PIVOT TABLE!PivotTable5</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sz="1400" b="1">
              <a:solidFill>
                <a:schemeClr val="tx1"/>
              </a:solidFill>
            </a:endParaRPr>
          </a:p>
          <a:p>
            <a:pPr>
              <a:defRPr>
                <a:solidFill>
                  <a:schemeClr val="tx1"/>
                </a:solidFill>
              </a:defRPr>
            </a:pPr>
            <a:r>
              <a:rPr lang="en-US" sz="1400" b="1">
                <a:solidFill>
                  <a:schemeClr val="tx1"/>
                </a:solidFill>
              </a:rPr>
              <a:t>Total</a:t>
            </a:r>
            <a:r>
              <a:rPr lang="en-US" sz="1400" b="1" baseline="0">
                <a:solidFill>
                  <a:schemeClr val="tx1"/>
                </a:solidFill>
              </a:rPr>
              <a:t> average of payment Methods</a:t>
            </a:r>
          </a:p>
          <a:p>
            <a:pPr>
              <a:defRPr>
                <a:solidFill>
                  <a:schemeClr val="tx1"/>
                </a:solidFill>
              </a:defRPr>
            </a:pPr>
            <a:endParaRPr lang="en-US" baseline="0">
              <a:solidFill>
                <a:schemeClr val="tx1"/>
              </a:solidFill>
            </a:endParaRPr>
          </a:p>
        </c:rich>
      </c:tx>
      <c:layout>
        <c:manualLayout>
          <c:xMode val="edge"/>
          <c:yMode val="edge"/>
          <c:x val="0.23258901263384985"/>
          <c:y val="0.12781869817021832"/>
        </c:manualLayout>
      </c:layout>
      <c:overlay val="0"/>
      <c:spPr>
        <a:noFill/>
        <a:ln>
          <a:noFill/>
        </a:ln>
        <a:effectLst>
          <a:outerShdw blurRad="50800" dist="50800" dir="5400000" algn="ctr" rotWithShape="0">
            <a:schemeClr val="tx2">
              <a:lumMod val="75000"/>
            </a:schemeClr>
          </a:outerShdw>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TABLE'!$O$4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89A-4606-A0FF-FC8CF2E3D57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9A-4606-A0FF-FC8CF2E3D57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89A-4606-A0FF-FC8CF2E3D57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89A-4606-A0FF-FC8CF2E3D57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89A-4606-A0FF-FC8CF2E3D57E}"/>
              </c:ext>
            </c:extLst>
          </c:dPt>
          <c:dPt>
            <c:idx val="5"/>
            <c:bubble3D val="0"/>
            <c:spPr>
              <a:solidFill>
                <a:schemeClr val="accent6"/>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TABLE'!$N$5:$N$11</c:f>
              <c:strCache>
                <c:ptCount val="6"/>
                <c:pt idx="0">
                  <c:v>COD</c:v>
                </c:pt>
                <c:pt idx="1">
                  <c:v>Credit Card</c:v>
                </c:pt>
                <c:pt idx="2">
                  <c:v>Debit Card</c:v>
                </c:pt>
                <c:pt idx="3">
                  <c:v>UPI</c:v>
                </c:pt>
                <c:pt idx="4">
                  <c:v>Wallet</c:v>
                </c:pt>
                <c:pt idx="5">
                  <c:v>(blank)</c:v>
                </c:pt>
              </c:strCache>
            </c:strRef>
          </c:cat>
          <c:val>
            <c:numRef>
              <c:f>'PIVOT TABLE'!$O$5:$O$11</c:f>
              <c:numCache>
                <c:formatCode>General</c:formatCode>
                <c:ptCount val="6"/>
                <c:pt idx="0">
                  <c:v>8266.9230769230762</c:v>
                </c:pt>
                <c:pt idx="1">
                  <c:v>8456.7195121951227</c:v>
                </c:pt>
                <c:pt idx="2">
                  <c:v>10341.119047619048</c:v>
                </c:pt>
                <c:pt idx="3">
                  <c:v>9962.942622950819</c:v>
                </c:pt>
                <c:pt idx="4">
                  <c:v>11273.268518518518</c:v>
                </c:pt>
              </c:numCache>
            </c:numRef>
          </c:val>
          <c:extLst>
            <c:ext xmlns:c16="http://schemas.microsoft.com/office/drawing/2014/chart" uri="{C3380CC4-5D6E-409C-BE32-E72D297353CC}">
              <c16:uniqueId val="{0000000A-F89A-4606-A0FF-FC8CF2E3D57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dk1">
          <a:lumMod val="15000"/>
          <a:lumOff val="85000"/>
        </a:schemeClr>
      </a:solidFill>
      <a:round/>
    </a:ln>
    <a:effectLst>
      <a:innerShdw blurRad="114300" dir="21540000">
        <a:prstClr val="black"/>
      </a:innerShdw>
    </a:effectLst>
    <a:scene3d>
      <a:camera prst="orthographicFront"/>
      <a:lightRig rig="threePt" dir="t"/>
    </a:scene3d>
    <a:sp3d>
      <a:bevelT prst="convex"/>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51973</xdr:colOff>
      <xdr:row>6</xdr:row>
      <xdr:rowOff>50397</xdr:rowOff>
    </xdr:from>
    <xdr:to>
      <xdr:col>4</xdr:col>
      <xdr:colOff>294377</xdr:colOff>
      <xdr:row>14</xdr:row>
      <xdr:rowOff>51342</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2DB0B494-82EE-4AEA-9347-DA7A925F444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1973" y="1687087"/>
              <a:ext cx="3649939" cy="1503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51971</xdr:colOff>
      <xdr:row>15</xdr:row>
      <xdr:rowOff>9134</xdr:rowOff>
    </xdr:from>
    <xdr:to>
      <xdr:col>4</xdr:col>
      <xdr:colOff>322540</xdr:colOff>
      <xdr:row>20</xdr:row>
      <xdr:rowOff>140103</xdr:rowOff>
    </xdr:to>
    <mc:AlternateContent xmlns:mc="http://schemas.openxmlformats.org/markup-compatibility/2006">
      <mc:Choice xmlns:a14="http://schemas.microsoft.com/office/drawing/2010/main" Requires="a14">
        <xdr:graphicFrame macro="">
          <xdr:nvGraphicFramePr>
            <xdr:cNvPr id="3" name="ORDER MONTH">
              <a:extLst>
                <a:ext uri="{FF2B5EF4-FFF2-40B4-BE49-F238E27FC236}">
                  <a16:creationId xmlns:a16="http://schemas.microsoft.com/office/drawing/2014/main" id="{E57D3B8F-D31B-450B-9907-DD9494957CAC}"/>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51971" y="3336176"/>
              <a:ext cx="3678104" cy="1070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60476</xdr:colOff>
      <xdr:row>20</xdr:row>
      <xdr:rowOff>176706</xdr:rowOff>
    </xdr:from>
    <xdr:to>
      <xdr:col>4</xdr:col>
      <xdr:colOff>335642</xdr:colOff>
      <xdr:row>26</xdr:row>
      <xdr:rowOff>131033</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39728EA-9DB0-43DE-B3B0-57B0EAAAC4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476" y="4442833"/>
              <a:ext cx="3682701" cy="1081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64627</xdr:colOff>
      <xdr:row>26</xdr:row>
      <xdr:rowOff>174017</xdr:rowOff>
    </xdr:from>
    <xdr:to>
      <xdr:col>4</xdr:col>
      <xdr:colOff>328171</xdr:colOff>
      <xdr:row>32</xdr:row>
      <xdr:rowOff>80634</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054D30C6-7DA7-43BB-BECB-6376CDEEC6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627" y="5567045"/>
              <a:ext cx="3671079" cy="103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70556</xdr:colOff>
      <xdr:row>37</xdr:row>
      <xdr:rowOff>161837</xdr:rowOff>
    </xdr:from>
    <xdr:to>
      <xdr:col>4</xdr:col>
      <xdr:colOff>312460</xdr:colOff>
      <xdr:row>42</xdr:row>
      <xdr:rowOff>110873</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3B6D1565-BB4B-4413-B8A8-C34802D975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0556" y="7620851"/>
              <a:ext cx="3649439" cy="888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414358</xdr:colOff>
      <xdr:row>5</xdr:row>
      <xdr:rowOff>110874</xdr:rowOff>
    </xdr:from>
    <xdr:to>
      <xdr:col>11</xdr:col>
      <xdr:colOff>514047</xdr:colOff>
      <xdr:row>25</xdr:row>
      <xdr:rowOff>10080</xdr:rowOff>
    </xdr:to>
    <xdr:graphicFrame macro="">
      <xdr:nvGraphicFramePr>
        <xdr:cNvPr id="7" name="Chart 6">
          <a:extLst>
            <a:ext uri="{FF2B5EF4-FFF2-40B4-BE49-F238E27FC236}">
              <a16:creationId xmlns:a16="http://schemas.microsoft.com/office/drawing/2014/main" id="{C3F49B8E-C3D9-42C6-A3C8-15BBCC871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564444</xdr:colOff>
      <xdr:row>5</xdr:row>
      <xdr:rowOff>100795</xdr:rowOff>
    </xdr:from>
    <xdr:to>
      <xdr:col>19</xdr:col>
      <xdr:colOff>352777</xdr:colOff>
      <xdr:row>25</xdr:row>
      <xdr:rowOff>53985</xdr:rowOff>
    </xdr:to>
    <xdr:graphicFrame macro="">
      <xdr:nvGraphicFramePr>
        <xdr:cNvPr id="8" name="Chart 7">
          <a:extLst>
            <a:ext uri="{FF2B5EF4-FFF2-40B4-BE49-F238E27FC236}">
              <a16:creationId xmlns:a16="http://schemas.microsoft.com/office/drawing/2014/main" id="{78ABC5B5-5BD1-4C08-BD0D-5A4E2175E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433413</xdr:colOff>
      <xdr:row>25</xdr:row>
      <xdr:rowOff>120953</xdr:rowOff>
    </xdr:from>
    <xdr:to>
      <xdr:col>11</xdr:col>
      <xdr:colOff>534207</xdr:colOff>
      <xdr:row>46</xdr:row>
      <xdr:rowOff>120953</xdr:rowOff>
    </xdr:to>
    <xdr:graphicFrame macro="">
      <xdr:nvGraphicFramePr>
        <xdr:cNvPr id="9" name="Chart 8">
          <a:extLst>
            <a:ext uri="{FF2B5EF4-FFF2-40B4-BE49-F238E27FC236}">
              <a16:creationId xmlns:a16="http://schemas.microsoft.com/office/drawing/2014/main" id="{DAFE1B62-EB92-4941-B185-8B8A772C0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60477</xdr:colOff>
      <xdr:row>32</xdr:row>
      <xdr:rowOff>124982</xdr:rowOff>
    </xdr:from>
    <xdr:to>
      <xdr:col>4</xdr:col>
      <xdr:colOff>312462</xdr:colOff>
      <xdr:row>37</xdr:row>
      <xdr:rowOff>131031</xdr:rowOff>
    </xdr:to>
    <mc:AlternateContent xmlns:mc="http://schemas.openxmlformats.org/markup-compatibility/2006">
      <mc:Choice xmlns:a14="http://schemas.microsoft.com/office/drawing/2010/main" Requires="a14">
        <xdr:graphicFrame macro="">
          <xdr:nvGraphicFramePr>
            <xdr:cNvPr id="11" name="Payment Mode">
              <a:extLst>
                <a:ext uri="{FF2B5EF4-FFF2-40B4-BE49-F238E27FC236}">
                  <a16:creationId xmlns:a16="http://schemas.microsoft.com/office/drawing/2014/main" id="{855244DE-3DCC-414E-A9BE-06467319E51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60477" y="6644912"/>
              <a:ext cx="3659520" cy="945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594683</xdr:colOff>
      <xdr:row>25</xdr:row>
      <xdr:rowOff>120953</xdr:rowOff>
    </xdr:from>
    <xdr:to>
      <xdr:col>19</xdr:col>
      <xdr:colOff>393096</xdr:colOff>
      <xdr:row>46</xdr:row>
      <xdr:rowOff>100793</xdr:rowOff>
    </xdr:to>
    <xdr:graphicFrame macro="">
      <xdr:nvGraphicFramePr>
        <xdr:cNvPr id="12" name="Chart 11">
          <a:extLst>
            <a:ext uri="{FF2B5EF4-FFF2-40B4-BE49-F238E27FC236}">
              <a16:creationId xmlns:a16="http://schemas.microsoft.com/office/drawing/2014/main" id="{33AD9A5A-AFCB-455E-A15C-593DA8D42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Singh" refreshedDate="46199.862184375001" createdVersion="8" refreshedVersion="8" minRefreshableVersion="3" recordCount="501" xr:uid="{180771BC-4FF3-40E4-A6E1-CC1F11941CB9}">
  <cacheSource type="worksheet">
    <worksheetSource ref="A1:U1048576" sheet="Raw Data"/>
  </cacheSource>
  <cacheFields count="21">
    <cacheField name="Order ID" numFmtId="0">
      <sharedItems containsBlank="1"/>
    </cacheField>
    <cacheField name="ORDER MONTH" numFmtId="0">
      <sharedItems containsBlank="1" count="13">
        <s v="January"/>
        <s v="February"/>
        <s v="March"/>
        <s v="April"/>
        <s v="May"/>
        <s v="June"/>
        <s v="July"/>
        <s v="August"/>
        <s v="September"/>
        <s v="October"/>
        <s v="November"/>
        <s v="December"/>
        <m/>
      </sharedItems>
    </cacheField>
    <cacheField name="Order Date" numFmtId="167">
      <sharedItems containsNonDate="0" containsDate="1" containsString="0" containsBlank="1" minDate="2023-01-01T00:00:00" maxDate="2024-01-01T00:00:00" count="271">
        <d v="2023-01-01T00:00:00"/>
        <d v="2023-01-02T00:00:00"/>
        <d v="2023-01-06T00:00:00"/>
        <d v="2023-01-08T00:00:00"/>
        <d v="2023-01-09T00:00:00"/>
        <d v="2023-01-11T00:00:00"/>
        <d v="2023-01-12T00:00:00"/>
        <d v="2023-01-13T00:00:00"/>
        <d v="2023-01-14T00:00:00"/>
        <d v="2023-01-15T00:00:00"/>
        <d v="2023-01-16T00:00:00"/>
        <d v="2023-01-18T00:00:00"/>
        <d v="2023-01-19T00:00:00"/>
        <d v="2023-01-20T00:00:00"/>
        <d v="2023-01-23T00:00:00"/>
        <d v="2023-01-24T00:00:00"/>
        <d v="2023-01-26T00:00:00"/>
        <d v="2023-01-28T00:00:00"/>
        <d v="2023-01-29T00:00:00"/>
        <d v="2023-01-30T00:00:00"/>
        <d v="2023-01-31T00:00:00"/>
        <d v="2023-02-01T00:00:00"/>
        <d v="2023-02-04T00:00:00"/>
        <d v="2023-02-05T00:00:00"/>
        <d v="2023-02-06T00:00:00"/>
        <d v="2023-02-07T00:00:00"/>
        <d v="2023-02-08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3-01T00:00:00"/>
        <d v="2023-03-02T00:00:00"/>
        <d v="2023-03-03T00:00:00"/>
        <d v="2023-03-05T00:00:00"/>
        <d v="2023-03-06T00:00:00"/>
        <d v="2023-03-07T00:00:00"/>
        <d v="2023-03-08T00:00:00"/>
        <d v="2023-03-09T00:00:00"/>
        <d v="2023-03-11T00:00:00"/>
        <d v="2023-03-13T00:00:00"/>
        <d v="2023-03-15T00:00:00"/>
        <d v="2023-03-16T00:00:00"/>
        <d v="2023-03-17T00:00:00"/>
        <d v="2023-03-19T00:00:00"/>
        <d v="2023-03-20T00:00:00"/>
        <d v="2023-03-22T00:00:00"/>
        <d v="2023-03-23T00:00:00"/>
        <d v="2023-03-24T00:00:00"/>
        <d v="2023-03-26T00:00:00"/>
        <d v="2023-03-27T00:00:00"/>
        <d v="2023-03-28T00:00:00"/>
        <d v="2023-03-31T00:00:00"/>
        <d v="2023-04-01T00:00:00"/>
        <d v="2023-04-02T00:00:00"/>
        <d v="2023-04-05T00:00:00"/>
        <d v="2023-04-07T00:00:00"/>
        <d v="2023-04-08T00:00:00"/>
        <d v="2023-04-09T00:00:00"/>
        <d v="2023-04-10T00:00:00"/>
        <d v="2023-04-11T00:00:00"/>
        <d v="2023-04-12T00:00:00"/>
        <d v="2023-04-13T00:00:00"/>
        <d v="2023-04-16T00:00:00"/>
        <d v="2023-04-17T00:00:00"/>
        <d v="2023-04-19T00:00:00"/>
        <d v="2023-04-20T00:00:00"/>
        <d v="2023-04-21T00:00:00"/>
        <d v="2023-04-22T00:00:00"/>
        <d v="2023-04-23T00:00:00"/>
        <d v="2023-04-24T00:00:00"/>
        <d v="2023-04-25T00:00:00"/>
        <d v="2023-04-26T00:00:00"/>
        <d v="2023-04-27T00:00:00"/>
        <d v="2023-04-28T00:00:00"/>
        <d v="2023-04-29T00:00:00"/>
        <d v="2023-05-01T00:00:00"/>
        <d v="2023-05-02T00:00:00"/>
        <d v="2023-05-04T00:00:00"/>
        <d v="2023-05-05T00:00:00"/>
        <d v="2023-05-07T00:00:00"/>
        <d v="2023-05-08T00:00:00"/>
        <d v="2023-05-09T00:00:00"/>
        <d v="2023-05-10T00:00:00"/>
        <d v="2023-05-11T00:00:00"/>
        <d v="2023-05-12T00:00:00"/>
        <d v="2023-05-13T00:00:00"/>
        <d v="2023-05-14T00:00:00"/>
        <d v="2023-05-16T00:00:00"/>
        <d v="2023-05-17T00:00:00"/>
        <d v="2023-05-18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7T00:00:00"/>
        <d v="2023-06-08T00:00:00"/>
        <d v="2023-06-10T00:00:00"/>
        <d v="2023-06-11T00:00:00"/>
        <d v="2023-06-12T00:00:00"/>
        <d v="2023-06-14T00:00:00"/>
        <d v="2023-06-18T00:00:00"/>
        <d v="2023-06-19T00:00:00"/>
        <d v="2023-06-20T00:00:00"/>
        <d v="2023-06-21T00:00:00"/>
        <d v="2023-06-22T00:00:00"/>
        <d v="2023-06-26T00:00:00"/>
        <d v="2023-06-29T00:00:00"/>
        <d v="2023-07-01T00:00:00"/>
        <d v="2023-07-02T00:00:00"/>
        <d v="2023-07-04T00:00:00"/>
        <d v="2023-07-05T00:00:00"/>
        <d v="2023-07-06T00:00:00"/>
        <d v="2023-07-07T00:00:00"/>
        <d v="2023-07-08T00:00:00"/>
        <d v="2023-07-09T00:00:00"/>
        <d v="2023-07-11T00:00:00"/>
        <d v="2023-07-12T00:00:00"/>
        <d v="2023-07-14T00:00:00"/>
        <d v="2023-07-15T00:00:00"/>
        <d v="2023-07-16T00:00:00"/>
        <d v="2023-07-17T00:00:00"/>
        <d v="2023-07-18T00:00:00"/>
        <d v="2023-07-19T00:00:00"/>
        <d v="2023-07-21T00:00:00"/>
        <d v="2023-07-22T00:00:00"/>
        <d v="2023-07-23T00:00:00"/>
        <d v="2023-07-25T00:00:00"/>
        <d v="2023-07-26T00:00:00"/>
        <d v="2023-07-27T00:00:00"/>
        <d v="2023-07-29T00:00:00"/>
        <d v="2023-07-30T00:00:00"/>
        <d v="2023-07-31T00:00:00"/>
        <d v="2023-08-01T00:00:00"/>
        <d v="2023-08-02T00:00:00"/>
        <d v="2023-08-03T00:00:00"/>
        <d v="2023-08-07T00:00:00"/>
        <d v="2023-08-08T00:00:00"/>
        <d v="2023-08-09T00:00:00"/>
        <d v="2023-08-10T00:00:00"/>
        <d v="2023-08-12T00:00:00"/>
        <d v="2023-08-14T00:00:00"/>
        <d v="2023-08-15T00:00:00"/>
        <d v="2023-08-16T00:00:00"/>
        <d v="2023-08-17T00:00:00"/>
        <d v="2023-08-19T00:00:00"/>
        <d v="2023-08-21T00:00:00"/>
        <d v="2023-08-22T00:00:00"/>
        <d v="2023-08-23T00:00:00"/>
        <d v="2023-08-24T00:00:00"/>
        <d v="2023-08-25T00:00:00"/>
        <d v="2023-08-26T00:00:00"/>
        <d v="2023-08-29T00:00:00"/>
        <d v="2023-08-30T00:00:00"/>
        <d v="2023-08-31T00:00:00"/>
        <d v="2023-09-01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20T00:00:00"/>
        <d v="2023-09-24T00:00:00"/>
        <d v="2023-09-25T00:00:00"/>
        <d v="2023-09-26T00:00:00"/>
        <d v="2023-09-27T00:00:00"/>
        <d v="2023-09-28T00:00:00"/>
        <d v="2023-09-29T00:00:00"/>
        <d v="2023-10-01T00:00:00"/>
        <d v="2023-10-03T00:00:00"/>
        <d v="2023-10-04T00:00:00"/>
        <d v="2023-10-05T00:00:00"/>
        <d v="2023-10-06T00:00:00"/>
        <d v="2023-10-07T00:00:00"/>
        <d v="2023-10-08T00:00:00"/>
        <d v="2023-10-09T00:00:00"/>
        <d v="2023-10-10T00:00:00"/>
        <d v="2023-10-11T00:00:00"/>
        <d v="2023-10-12T00:00:00"/>
        <d v="2023-10-13T00:00:00"/>
        <d v="2023-10-15T00:00:00"/>
        <d v="2023-10-16T00:00:00"/>
        <d v="2023-10-17T00:00:00"/>
        <d v="2023-10-18T00:00:00"/>
        <d v="2023-10-22T00:00:00"/>
        <d v="2023-10-23T00:00:00"/>
        <d v="2023-10-24T00:00:00"/>
        <d v="2023-10-25T00:00:00"/>
        <d v="2023-10-26T00:00:00"/>
        <d v="2023-10-27T00:00:00"/>
        <d v="2023-10-28T00:00:00"/>
        <d v="2023-10-29T00:00:00"/>
        <d v="2023-11-02T00:00:00"/>
        <d v="2023-11-03T00:00:00"/>
        <d v="2023-11-04T00:00:00"/>
        <d v="2023-11-06T00:00:00"/>
        <d v="2023-11-07T00:00:00"/>
        <d v="2023-11-08T00:00:00"/>
        <d v="2023-11-10T00:00:00"/>
        <d v="2023-11-11T00:00:00"/>
        <d v="2023-11-12T00:00:00"/>
        <d v="2023-11-15T00:00:00"/>
        <d v="2023-11-16T00:00:00"/>
        <d v="2023-11-17T00:00:00"/>
        <d v="2023-11-18T00:00:00"/>
        <d v="2023-11-19T00:00:00"/>
        <d v="2023-11-20T00:00:00"/>
        <d v="2023-11-21T00:00:00"/>
        <d v="2023-11-23T00:00:00"/>
        <d v="2023-11-24T00:00:00"/>
        <d v="2023-11-25T00:00:00"/>
        <d v="2023-11-28T00:00:00"/>
        <d v="2023-11-29T00:00:00"/>
        <d v="2023-11-30T00:00:00"/>
        <d v="2023-12-01T00:00:00"/>
        <d v="2023-12-02T00:00:00"/>
        <d v="2023-12-03T00:00:00"/>
        <d v="2023-12-05T00:00:00"/>
        <d v="2023-12-06T00:00:00"/>
        <d v="2023-12-08T00:00:00"/>
        <d v="2023-12-09T00:00:00"/>
        <d v="2023-12-10T00:00:00"/>
        <d v="2023-12-12T00:00:00"/>
        <d v="2023-12-13T00:00:00"/>
        <d v="2023-12-14T00:00:00"/>
        <d v="2023-12-15T00:00:00"/>
        <d v="2023-12-17T00:00:00"/>
        <d v="2023-12-18T00:00:00"/>
        <d v="2023-12-20T00:00:00"/>
        <d v="2023-12-22T00:00:00"/>
        <d v="2023-12-23T00:00:00"/>
        <d v="2023-12-25T00:00:00"/>
        <d v="2023-12-27T00:00:00"/>
        <d v="2023-12-28T00:00:00"/>
        <d v="2023-12-30T00:00:00"/>
        <d v="2023-12-31T00:00:00"/>
        <m/>
      </sharedItems>
    </cacheField>
    <cacheField name="Project Name" numFmtId="0">
      <sharedItems containsBlank="1"/>
    </cacheField>
    <cacheField name="Category" numFmtId="0">
      <sharedItems containsBlank="1" count="8">
        <s v="Sports"/>
        <s v="Beauty"/>
        <s v="Footwear"/>
        <s v="Accessories"/>
        <s v="Home &amp; Living"/>
        <s v="Kids"/>
        <s v="Clothing"/>
        <m/>
      </sharedItems>
    </cacheField>
    <cacheField name="Brand" numFmtId="0">
      <sharedItems containsBlank="1" count="11">
        <s v="Zara"/>
        <s v="Nike"/>
        <s v="HERE&amp;NOW"/>
        <s v="H&amp;M"/>
        <s v="Levis"/>
        <s v="Adidas"/>
        <s v="Van Heusen"/>
        <s v="Roadster"/>
        <s v="Tokyo Talkies"/>
        <s v="Puma"/>
        <m/>
      </sharedItems>
    </cacheField>
    <cacheField name="Region" numFmtId="0">
      <sharedItems containsBlank="1" count="6">
        <s v="South"/>
        <s v="East"/>
        <s v="North"/>
        <s v="Central"/>
        <s v="West"/>
        <m/>
      </sharedItems>
    </cacheField>
    <cacheField name="Channel" numFmtId="0">
      <sharedItems containsBlank="1"/>
    </cacheField>
    <cacheField name="Payment Mode" numFmtId="0">
      <sharedItems containsBlank="1" count="6">
        <s v="COD"/>
        <s v="Wallet"/>
        <s v="Credit Card"/>
        <s v="UPI"/>
        <s v="Debit Card"/>
        <m/>
      </sharedItems>
    </cacheField>
    <cacheField name="Gender" numFmtId="0">
      <sharedItems containsBlank="1" count="4">
        <s v="Male"/>
        <s v="Female"/>
        <s v="Unisex"/>
        <m/>
      </sharedItems>
    </cacheField>
    <cacheField name="Units Sold" numFmtId="0">
      <sharedItems containsString="0" containsBlank="1" containsNumber="1" containsInteger="1" minValue="1" maxValue="15"/>
    </cacheField>
    <cacheField name="Unit Price (₹)" numFmtId="0">
      <sharedItems containsString="0" containsBlank="1" containsNumber="1" containsInteger="1" minValue="302" maxValue="4999"/>
    </cacheField>
    <cacheField name="Revenue (₹)" numFmtId="0">
      <sharedItems containsString="0" containsBlank="1" containsNumber="1" containsInteger="1" minValue="303" maxValue="74985"/>
    </cacheField>
    <cacheField name="Discount (%)" numFmtId="0">
      <sharedItems containsString="0" containsBlank="1" containsNumber="1" containsInteger="1" minValue="0" maxValue="50"/>
    </cacheField>
    <cacheField name="Discount Amount (₹)" numFmtId="0">
      <sharedItems containsString="0" containsBlank="1" containsNumber="1" containsInteger="1" minValue="0" maxValue="31661"/>
    </cacheField>
    <cacheField name="Net Revenue (₹)" numFmtId="0">
      <sharedItems containsString="0" containsBlank="1" containsNumber="1" containsInteger="1" minValue="151" maxValue="74985"/>
    </cacheField>
    <cacheField name="Cost (₹)" numFmtId="0">
      <sharedItems containsString="0" containsBlank="1" containsNumber="1" containsInteger="1" minValue="99" maxValue="51442"/>
    </cacheField>
    <cacheField name="Gross Profit (₹)" numFmtId="0">
      <sharedItems containsString="0" containsBlank="1" containsNumber="1" containsInteger="1" minValue="52" maxValue="38973"/>
    </cacheField>
    <cacheField name="Returns" numFmtId="0">
      <sharedItems containsString="0" containsBlank="1" containsNumber="1" containsInteger="1" minValue="0" maxValue="3"/>
    </cacheField>
    <cacheField name="Return Amount (₹)" numFmtId="0">
      <sharedItems containsString="0" containsBlank="1" containsNumber="1" containsInteger="1" minValue="0" maxValue="14865"/>
    </cacheField>
    <cacheField name="Customer Rating" numFmtId="0">
      <sharedItems containsString="0" containsBlank="1" containsNumber="1" minValue="2.5" maxValue="5"/>
    </cacheField>
  </cacheFields>
  <extLst>
    <ext xmlns:x14="http://schemas.microsoft.com/office/spreadsheetml/2009/9/main" uri="{725AE2AE-9491-48be-B2B4-4EB974FC3084}">
      <x14:pivotCacheDefinition pivotCacheId="651658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00126"/>
    <x v="0"/>
    <x v="0"/>
    <s v="AJIO Back to Campus"/>
    <x v="0"/>
    <x v="0"/>
    <x v="0"/>
    <s v="Mobile Web"/>
    <x v="0"/>
    <x v="0"/>
    <n v="11"/>
    <n v="3440"/>
    <n v="37840"/>
    <n v="50"/>
    <n v="18920"/>
    <n v="18920"/>
    <n v="13124"/>
    <n v="5796"/>
    <n v="0"/>
    <n v="0"/>
    <n v="4.9000000000000004"/>
  </r>
  <r>
    <s v="ORD00272"/>
    <x v="0"/>
    <x v="1"/>
    <s v="AJIO Summer Splash"/>
    <x v="1"/>
    <x v="1"/>
    <x v="1"/>
    <s v="Mobile Web"/>
    <x v="1"/>
    <x v="1"/>
    <n v="4"/>
    <n v="755"/>
    <n v="3020"/>
    <n v="15"/>
    <n v="453"/>
    <n v="2567"/>
    <n v="1265"/>
    <n v="1302"/>
    <n v="1"/>
    <n v="642"/>
    <n v="4.9000000000000004"/>
  </r>
  <r>
    <s v="ORD00367"/>
    <x v="0"/>
    <x v="2"/>
    <s v="AJIO Sports Carnival"/>
    <x v="2"/>
    <x v="2"/>
    <x v="1"/>
    <s v="App"/>
    <x v="2"/>
    <x v="2"/>
    <n v="9"/>
    <n v="2723"/>
    <n v="24507"/>
    <n v="15"/>
    <n v="3676"/>
    <n v="20831"/>
    <n v="12578"/>
    <n v="8253"/>
    <n v="2"/>
    <n v="4629"/>
    <n v="2.6"/>
  </r>
  <r>
    <s v="ORD00236"/>
    <x v="0"/>
    <x v="3"/>
    <s v="AJIO Fashion Fiesta"/>
    <x v="3"/>
    <x v="3"/>
    <x v="2"/>
    <s v="App"/>
    <x v="0"/>
    <x v="2"/>
    <n v="5"/>
    <n v="3253"/>
    <n v="16265"/>
    <n v="50"/>
    <n v="8132"/>
    <n v="8133"/>
    <n v="5220"/>
    <n v="2913"/>
    <n v="1"/>
    <n v="1626"/>
    <n v="4.3"/>
  </r>
  <r>
    <s v="ORD00399"/>
    <x v="0"/>
    <x v="3"/>
    <s v="AJIO Fashion Fiesta"/>
    <x v="2"/>
    <x v="4"/>
    <x v="3"/>
    <s v="App"/>
    <x v="0"/>
    <x v="0"/>
    <n v="1"/>
    <n v="4853"/>
    <n v="4853"/>
    <n v="40"/>
    <n v="1941"/>
    <n v="2912"/>
    <n v="1812"/>
    <n v="1100"/>
    <n v="0"/>
    <n v="0"/>
    <n v="3.4"/>
  </r>
  <r>
    <s v="ORD00482"/>
    <x v="0"/>
    <x v="3"/>
    <s v="AJIO Sports Carnival"/>
    <x v="4"/>
    <x v="1"/>
    <x v="3"/>
    <s v="App"/>
    <x v="1"/>
    <x v="2"/>
    <n v="3"/>
    <n v="3397"/>
    <n v="10191"/>
    <n v="25"/>
    <n v="2548"/>
    <n v="7643"/>
    <n v="4983"/>
    <n v="2660"/>
    <n v="1"/>
    <n v="2548"/>
    <n v="4.5"/>
  </r>
  <r>
    <s v="ORD00413"/>
    <x v="0"/>
    <x v="4"/>
    <s v="AJIO Back to Campus"/>
    <x v="0"/>
    <x v="5"/>
    <x v="1"/>
    <s v="App"/>
    <x v="3"/>
    <x v="0"/>
    <n v="4"/>
    <n v="4321"/>
    <n v="17284"/>
    <n v="0"/>
    <n v="0"/>
    <n v="17284"/>
    <n v="11112"/>
    <n v="6172"/>
    <n v="1"/>
    <n v="4321"/>
    <n v="4.8"/>
  </r>
  <r>
    <s v="ORD00107"/>
    <x v="0"/>
    <x v="5"/>
    <s v="AJIO New Year Blowout"/>
    <x v="3"/>
    <x v="5"/>
    <x v="3"/>
    <s v="Website"/>
    <x v="3"/>
    <x v="0"/>
    <n v="7"/>
    <n v="4268"/>
    <n v="29876"/>
    <n v="15"/>
    <n v="4481"/>
    <n v="25395"/>
    <n v="14194"/>
    <n v="11201"/>
    <n v="1"/>
    <n v="3628"/>
    <n v="3.8"/>
  </r>
  <r>
    <s v="ORD00082"/>
    <x v="0"/>
    <x v="6"/>
    <s v="AJIO End of Season"/>
    <x v="5"/>
    <x v="6"/>
    <x v="1"/>
    <s v="App"/>
    <x v="1"/>
    <x v="2"/>
    <n v="13"/>
    <n v="3799"/>
    <n v="49387"/>
    <n v="0"/>
    <n v="0"/>
    <n v="49387"/>
    <n v="33467"/>
    <n v="15920"/>
    <n v="3"/>
    <n v="11397"/>
    <n v="4.5999999999999996"/>
  </r>
  <r>
    <s v="ORD00172"/>
    <x v="0"/>
    <x v="6"/>
    <s v="AJIO Fashion Fiesta"/>
    <x v="1"/>
    <x v="4"/>
    <x v="2"/>
    <s v="Mobile Web"/>
    <x v="4"/>
    <x v="2"/>
    <n v="2"/>
    <n v="512"/>
    <n v="1024"/>
    <n v="25"/>
    <n v="256"/>
    <n v="768"/>
    <n v="480"/>
    <n v="288"/>
    <n v="0"/>
    <n v="0"/>
    <n v="4.8"/>
  </r>
  <r>
    <s v="ORD00211"/>
    <x v="0"/>
    <x v="6"/>
    <s v="AJIO Sports Carnival"/>
    <x v="5"/>
    <x v="0"/>
    <x v="2"/>
    <s v="Mobile Web"/>
    <x v="4"/>
    <x v="2"/>
    <n v="4"/>
    <n v="2724"/>
    <n v="10896"/>
    <n v="50"/>
    <n v="5448"/>
    <n v="5448"/>
    <n v="2670"/>
    <n v="2778"/>
    <n v="1"/>
    <n v="1362"/>
    <n v="4.9000000000000004"/>
  </r>
  <r>
    <s v="ORD00386"/>
    <x v="0"/>
    <x v="6"/>
    <s v="AJIO Big Bold Sale"/>
    <x v="2"/>
    <x v="3"/>
    <x v="1"/>
    <s v="Mobile Web"/>
    <x v="2"/>
    <x v="0"/>
    <n v="3"/>
    <n v="2165"/>
    <n v="6495"/>
    <n v="5"/>
    <n v="325"/>
    <n v="6170"/>
    <n v="2875"/>
    <n v="3295"/>
    <n v="1"/>
    <n v="2057"/>
    <n v="3.9"/>
  </r>
  <r>
    <s v="ORD00489"/>
    <x v="0"/>
    <x v="7"/>
    <s v="AJIO Mega Brand Sale"/>
    <x v="0"/>
    <x v="1"/>
    <x v="2"/>
    <s v="Mobile Web"/>
    <x v="4"/>
    <x v="2"/>
    <n v="11"/>
    <n v="871"/>
    <n v="9581"/>
    <n v="5"/>
    <n v="479"/>
    <n v="9102"/>
    <n v="4292"/>
    <n v="4810"/>
    <n v="2"/>
    <n v="1655"/>
    <n v="2.8"/>
  </r>
  <r>
    <s v="ORD00481"/>
    <x v="0"/>
    <x v="8"/>
    <s v="AJIO End of Season"/>
    <x v="3"/>
    <x v="7"/>
    <x v="2"/>
    <s v="App"/>
    <x v="1"/>
    <x v="0"/>
    <n v="14"/>
    <n v="3983"/>
    <n v="55762"/>
    <n v="20"/>
    <n v="11152"/>
    <n v="44610"/>
    <n v="21553"/>
    <n v="23057"/>
    <n v="2"/>
    <n v="6373"/>
    <n v="3.2"/>
  </r>
  <r>
    <s v="ORD00101"/>
    <x v="0"/>
    <x v="9"/>
    <s v="AJIO Back to Campus"/>
    <x v="2"/>
    <x v="4"/>
    <x v="1"/>
    <s v="Website"/>
    <x v="3"/>
    <x v="0"/>
    <n v="3"/>
    <n v="4387"/>
    <n v="13161"/>
    <n v="30"/>
    <n v="3948"/>
    <n v="9213"/>
    <n v="4306"/>
    <n v="4907"/>
    <n v="0"/>
    <n v="0"/>
    <n v="2.7"/>
  </r>
  <r>
    <s v="ORD00311"/>
    <x v="0"/>
    <x v="9"/>
    <s v="AJIO Back to Campus"/>
    <x v="5"/>
    <x v="5"/>
    <x v="4"/>
    <s v="Website"/>
    <x v="2"/>
    <x v="1"/>
    <n v="8"/>
    <n v="515"/>
    <n v="4120"/>
    <n v="20"/>
    <n v="824"/>
    <n v="3296"/>
    <n v="2023"/>
    <n v="1273"/>
    <n v="0"/>
    <n v="0"/>
    <n v="4.3"/>
  </r>
  <r>
    <s v="ORD00473"/>
    <x v="0"/>
    <x v="10"/>
    <s v="AJIO Sports Carnival"/>
    <x v="2"/>
    <x v="6"/>
    <x v="3"/>
    <s v="Website"/>
    <x v="3"/>
    <x v="2"/>
    <n v="7"/>
    <n v="2207"/>
    <n v="15449"/>
    <n v="30"/>
    <n v="4635"/>
    <n v="10814"/>
    <n v="6340"/>
    <n v="4474"/>
    <n v="0"/>
    <n v="0"/>
    <n v="3.7"/>
  </r>
  <r>
    <s v="ORD00084"/>
    <x v="0"/>
    <x v="11"/>
    <s v="AJIO End of Season"/>
    <x v="0"/>
    <x v="0"/>
    <x v="0"/>
    <s v="App"/>
    <x v="3"/>
    <x v="1"/>
    <n v="12"/>
    <n v="2252"/>
    <n v="27024"/>
    <n v="15"/>
    <n v="4054"/>
    <n v="22970"/>
    <n v="11095"/>
    <n v="11875"/>
    <n v="2"/>
    <n v="3828"/>
    <n v="3.8"/>
  </r>
  <r>
    <s v="ORD00163"/>
    <x v="0"/>
    <x v="12"/>
    <s v="AJIO Back to Campus"/>
    <x v="5"/>
    <x v="6"/>
    <x v="4"/>
    <s v="App"/>
    <x v="3"/>
    <x v="0"/>
    <n v="1"/>
    <n v="1701"/>
    <n v="1701"/>
    <n v="5"/>
    <n v="85"/>
    <n v="1616"/>
    <n v="1102"/>
    <n v="514"/>
    <n v="1"/>
    <n v="1616"/>
    <n v="3.2"/>
  </r>
  <r>
    <s v="ORD00316"/>
    <x v="0"/>
    <x v="12"/>
    <s v="AJIO Festive Rush"/>
    <x v="0"/>
    <x v="2"/>
    <x v="2"/>
    <s v="App"/>
    <x v="1"/>
    <x v="2"/>
    <n v="11"/>
    <n v="1731"/>
    <n v="19041"/>
    <n v="50"/>
    <n v="9520"/>
    <n v="9521"/>
    <n v="5623"/>
    <n v="3898"/>
    <n v="2"/>
    <n v="1731"/>
    <n v="4.2"/>
  </r>
  <r>
    <s v="ORD00281"/>
    <x v="0"/>
    <x v="13"/>
    <s v="AJIO Summer Splash"/>
    <x v="1"/>
    <x v="0"/>
    <x v="0"/>
    <s v="App"/>
    <x v="0"/>
    <x v="1"/>
    <n v="15"/>
    <n v="2049"/>
    <n v="30735"/>
    <n v="25"/>
    <n v="7684"/>
    <n v="23051"/>
    <n v="15083"/>
    <n v="7968"/>
    <n v="2"/>
    <n v="3074"/>
    <n v="3.3"/>
  </r>
  <r>
    <s v="ORD00416"/>
    <x v="0"/>
    <x v="13"/>
    <s v="AJIO Sports Carnival"/>
    <x v="4"/>
    <x v="8"/>
    <x v="4"/>
    <s v="App"/>
    <x v="2"/>
    <x v="1"/>
    <n v="6"/>
    <n v="4434"/>
    <n v="26604"/>
    <n v="30"/>
    <n v="7981"/>
    <n v="18623"/>
    <n v="10320"/>
    <n v="8303"/>
    <n v="0"/>
    <n v="0"/>
    <n v="4.7"/>
  </r>
  <r>
    <s v="ORD00457"/>
    <x v="0"/>
    <x v="13"/>
    <s v="AJIO Back to Campus"/>
    <x v="5"/>
    <x v="3"/>
    <x v="2"/>
    <s v="Website"/>
    <x v="1"/>
    <x v="0"/>
    <n v="13"/>
    <n v="2568"/>
    <n v="33384"/>
    <n v="50"/>
    <n v="16692"/>
    <n v="16692"/>
    <n v="8154"/>
    <n v="8538"/>
    <n v="2"/>
    <n v="2568"/>
    <n v="4.8"/>
  </r>
  <r>
    <s v="ORD00274"/>
    <x v="0"/>
    <x v="14"/>
    <s v="AJIO New Year Blowout"/>
    <x v="3"/>
    <x v="7"/>
    <x v="4"/>
    <s v="Website"/>
    <x v="4"/>
    <x v="1"/>
    <n v="10"/>
    <n v="589"/>
    <n v="5890"/>
    <n v="5"/>
    <n v="294"/>
    <n v="5596"/>
    <n v="2638"/>
    <n v="2958"/>
    <n v="1"/>
    <n v="560"/>
    <n v="4.5"/>
  </r>
  <r>
    <s v="ORD00351"/>
    <x v="0"/>
    <x v="15"/>
    <s v="AJIO New Year Blowout"/>
    <x v="6"/>
    <x v="0"/>
    <x v="2"/>
    <s v="Mobile Web"/>
    <x v="1"/>
    <x v="2"/>
    <n v="14"/>
    <n v="1584"/>
    <n v="22176"/>
    <n v="20"/>
    <n v="4435"/>
    <n v="17741"/>
    <n v="10550"/>
    <n v="7191"/>
    <n v="1"/>
    <n v="1267"/>
    <n v="3.4"/>
  </r>
  <r>
    <s v="ORD00103"/>
    <x v="0"/>
    <x v="16"/>
    <s v="AJIO New Year Blowout"/>
    <x v="4"/>
    <x v="1"/>
    <x v="1"/>
    <s v="Website"/>
    <x v="0"/>
    <x v="1"/>
    <n v="10"/>
    <n v="2377"/>
    <n v="23770"/>
    <n v="20"/>
    <n v="4754"/>
    <n v="19016"/>
    <n v="9582"/>
    <n v="9434"/>
    <n v="2"/>
    <n v="3803"/>
    <n v="2.8"/>
  </r>
  <r>
    <s v="ORD00255"/>
    <x v="0"/>
    <x v="16"/>
    <s v="AJIO End of Season"/>
    <x v="2"/>
    <x v="8"/>
    <x v="4"/>
    <s v="Mobile Web"/>
    <x v="0"/>
    <x v="1"/>
    <n v="1"/>
    <n v="2098"/>
    <n v="2098"/>
    <n v="30"/>
    <n v="629"/>
    <n v="1469"/>
    <n v="725"/>
    <n v="744"/>
    <n v="0"/>
    <n v="0"/>
    <n v="4.8"/>
  </r>
  <r>
    <s v="ORD00296"/>
    <x v="0"/>
    <x v="17"/>
    <s v="AJIO Fashion Fiesta"/>
    <x v="5"/>
    <x v="5"/>
    <x v="0"/>
    <s v="App"/>
    <x v="3"/>
    <x v="1"/>
    <n v="10"/>
    <n v="4495"/>
    <n v="44950"/>
    <n v="40"/>
    <n v="17980"/>
    <n v="26970"/>
    <n v="13102"/>
    <n v="13868"/>
    <n v="2"/>
    <n v="5394"/>
    <n v="3"/>
  </r>
  <r>
    <s v="ORD00454"/>
    <x v="0"/>
    <x v="18"/>
    <s v="AJIO Luxury Week"/>
    <x v="5"/>
    <x v="2"/>
    <x v="1"/>
    <s v="Mobile Web"/>
    <x v="3"/>
    <x v="2"/>
    <n v="9"/>
    <n v="387"/>
    <n v="3483"/>
    <n v="25"/>
    <n v="871"/>
    <n v="2612"/>
    <n v="1697"/>
    <n v="915"/>
    <n v="1"/>
    <n v="290"/>
    <n v="2.7"/>
  </r>
  <r>
    <s v="ORD00259"/>
    <x v="0"/>
    <x v="19"/>
    <s v="AJIO Sports Carnival"/>
    <x v="5"/>
    <x v="7"/>
    <x v="3"/>
    <s v="Website"/>
    <x v="1"/>
    <x v="0"/>
    <n v="3"/>
    <n v="770"/>
    <n v="2310"/>
    <n v="15"/>
    <n v="346"/>
    <n v="1964"/>
    <n v="1015"/>
    <n v="949"/>
    <n v="0"/>
    <n v="0"/>
    <n v="4.4000000000000004"/>
  </r>
  <r>
    <s v="ORD00222"/>
    <x v="0"/>
    <x v="20"/>
    <s v="AJIO Back to Campus"/>
    <x v="0"/>
    <x v="0"/>
    <x v="3"/>
    <s v="Website"/>
    <x v="1"/>
    <x v="2"/>
    <n v="3"/>
    <n v="1820"/>
    <n v="5460"/>
    <n v="20"/>
    <n v="1092"/>
    <n v="4368"/>
    <n v="2282"/>
    <n v="2086"/>
    <n v="1"/>
    <n v="1456"/>
    <n v="4.9000000000000004"/>
  </r>
  <r>
    <s v="ORD00021"/>
    <x v="1"/>
    <x v="21"/>
    <s v="AJIO Luxury Week"/>
    <x v="4"/>
    <x v="0"/>
    <x v="2"/>
    <s v="App"/>
    <x v="1"/>
    <x v="1"/>
    <n v="9"/>
    <n v="4620"/>
    <n v="41580"/>
    <n v="50"/>
    <n v="20790"/>
    <n v="20790"/>
    <n v="10174"/>
    <n v="10616"/>
    <n v="2"/>
    <n v="4620"/>
    <n v="2.7"/>
  </r>
  <r>
    <s v="ORD00372"/>
    <x v="1"/>
    <x v="22"/>
    <s v="AJIO Festive Rush"/>
    <x v="1"/>
    <x v="3"/>
    <x v="0"/>
    <s v="Website"/>
    <x v="0"/>
    <x v="1"/>
    <n v="9"/>
    <n v="2817"/>
    <n v="25353"/>
    <n v="20"/>
    <n v="5071"/>
    <n v="20282"/>
    <n v="10386"/>
    <n v="9896"/>
    <n v="0"/>
    <n v="0"/>
    <n v="3.5"/>
  </r>
  <r>
    <s v="ORD00452"/>
    <x v="1"/>
    <x v="22"/>
    <s v="AJIO Sports Carnival"/>
    <x v="3"/>
    <x v="4"/>
    <x v="3"/>
    <s v="Mobile Web"/>
    <x v="3"/>
    <x v="0"/>
    <n v="2"/>
    <n v="3522"/>
    <n v="7044"/>
    <n v="25"/>
    <n v="1761"/>
    <n v="5283"/>
    <n v="2900"/>
    <n v="2383"/>
    <n v="0"/>
    <n v="0"/>
    <n v="4.5999999999999996"/>
  </r>
  <r>
    <s v="ORD00022"/>
    <x v="1"/>
    <x v="23"/>
    <s v="AJIO Mega Brand Sale"/>
    <x v="0"/>
    <x v="1"/>
    <x v="0"/>
    <s v="Website"/>
    <x v="2"/>
    <x v="2"/>
    <n v="4"/>
    <n v="3020"/>
    <n v="12080"/>
    <n v="0"/>
    <n v="0"/>
    <n v="12080"/>
    <n v="7307"/>
    <n v="4773"/>
    <n v="1"/>
    <n v="3020"/>
    <n v="4.0999999999999996"/>
  </r>
  <r>
    <s v="ORD00032"/>
    <x v="1"/>
    <x v="23"/>
    <s v="AJIO End of Season"/>
    <x v="5"/>
    <x v="4"/>
    <x v="1"/>
    <s v="Mobile Web"/>
    <x v="1"/>
    <x v="1"/>
    <n v="11"/>
    <n v="4910"/>
    <n v="54010"/>
    <n v="50"/>
    <n v="27005"/>
    <n v="27005"/>
    <n v="14388"/>
    <n v="12617"/>
    <n v="0"/>
    <n v="0"/>
    <n v="2.8"/>
  </r>
  <r>
    <s v="ORD00106"/>
    <x v="1"/>
    <x v="24"/>
    <s v="AJIO New Year Blowout"/>
    <x v="1"/>
    <x v="9"/>
    <x v="4"/>
    <s v="App"/>
    <x v="0"/>
    <x v="0"/>
    <n v="14"/>
    <n v="1770"/>
    <n v="24780"/>
    <n v="30"/>
    <n v="7434"/>
    <n v="17346"/>
    <n v="10292"/>
    <n v="7054"/>
    <n v="3"/>
    <n v="3717"/>
    <n v="3.2"/>
  </r>
  <r>
    <s v="ORD00396"/>
    <x v="1"/>
    <x v="24"/>
    <s v="AJIO Big Bold Sale"/>
    <x v="0"/>
    <x v="7"/>
    <x v="0"/>
    <s v="App"/>
    <x v="3"/>
    <x v="1"/>
    <n v="14"/>
    <n v="358"/>
    <n v="5012"/>
    <n v="15"/>
    <n v="752"/>
    <n v="4260"/>
    <n v="2327"/>
    <n v="1933"/>
    <n v="3"/>
    <n v="913"/>
    <n v="3.1"/>
  </r>
  <r>
    <s v="ORD00462"/>
    <x v="1"/>
    <x v="24"/>
    <s v="AJIO New Year Blowout"/>
    <x v="3"/>
    <x v="8"/>
    <x v="1"/>
    <s v="Mobile Web"/>
    <x v="0"/>
    <x v="0"/>
    <n v="3"/>
    <n v="435"/>
    <n v="1305"/>
    <n v="0"/>
    <n v="0"/>
    <n v="1305"/>
    <n v="622"/>
    <n v="683"/>
    <n v="0"/>
    <n v="0"/>
    <n v="2.7"/>
  </r>
  <r>
    <s v="ORD00137"/>
    <x v="1"/>
    <x v="25"/>
    <s v="AJIO Luxury Week"/>
    <x v="1"/>
    <x v="5"/>
    <x v="4"/>
    <s v="App"/>
    <x v="3"/>
    <x v="2"/>
    <n v="6"/>
    <n v="3634"/>
    <n v="21804"/>
    <n v="50"/>
    <n v="10902"/>
    <n v="10902"/>
    <n v="6384"/>
    <n v="4518"/>
    <n v="1"/>
    <n v="1817"/>
    <n v="4.5999999999999996"/>
  </r>
  <r>
    <s v="ORD00197"/>
    <x v="1"/>
    <x v="25"/>
    <s v="AJIO End of Season"/>
    <x v="6"/>
    <x v="4"/>
    <x v="0"/>
    <s v="Website"/>
    <x v="4"/>
    <x v="2"/>
    <n v="7"/>
    <n v="1787"/>
    <n v="12509"/>
    <n v="5"/>
    <n v="625"/>
    <n v="11884"/>
    <n v="5620"/>
    <n v="6264"/>
    <n v="1"/>
    <n v="1698"/>
    <n v="3.6"/>
  </r>
  <r>
    <s v="ORD00050"/>
    <x v="1"/>
    <x v="26"/>
    <s v="AJIO Fashion Fiesta"/>
    <x v="0"/>
    <x v="3"/>
    <x v="2"/>
    <s v="Mobile Web"/>
    <x v="3"/>
    <x v="2"/>
    <n v="10"/>
    <n v="4085"/>
    <n v="40850"/>
    <n v="0"/>
    <n v="0"/>
    <n v="40850"/>
    <n v="21928"/>
    <n v="18922"/>
    <n v="1"/>
    <n v="4085"/>
    <n v="4.2"/>
  </r>
  <r>
    <s v="ORD00314"/>
    <x v="1"/>
    <x v="26"/>
    <s v="AJIO Fashion Fiesta"/>
    <x v="5"/>
    <x v="7"/>
    <x v="1"/>
    <s v="App"/>
    <x v="3"/>
    <x v="1"/>
    <n v="1"/>
    <n v="2682"/>
    <n v="2682"/>
    <n v="50"/>
    <n v="1341"/>
    <n v="1341"/>
    <n v="819"/>
    <n v="522"/>
    <n v="1"/>
    <n v="1341"/>
    <n v="4.5"/>
  </r>
  <r>
    <s v="ORD00373"/>
    <x v="1"/>
    <x v="26"/>
    <s v="AJIO Sports Carnival"/>
    <x v="0"/>
    <x v="5"/>
    <x v="4"/>
    <s v="Website"/>
    <x v="3"/>
    <x v="0"/>
    <n v="15"/>
    <n v="2995"/>
    <n v="44925"/>
    <n v="10"/>
    <n v="4492"/>
    <n v="40433"/>
    <n v="27769"/>
    <n v="12664"/>
    <n v="1"/>
    <n v="2696"/>
    <n v="3.7"/>
  </r>
  <r>
    <s v="ORD00346"/>
    <x v="1"/>
    <x v="27"/>
    <s v="AJIO Big Bold Sale"/>
    <x v="5"/>
    <x v="4"/>
    <x v="0"/>
    <s v="Mobile Web"/>
    <x v="4"/>
    <x v="1"/>
    <n v="12"/>
    <n v="4465"/>
    <n v="53580"/>
    <n v="5"/>
    <n v="2679"/>
    <n v="50901"/>
    <n v="32162"/>
    <n v="18739"/>
    <n v="0"/>
    <n v="0"/>
    <n v="4.5999999999999996"/>
  </r>
  <r>
    <s v="ORD00361"/>
    <x v="1"/>
    <x v="28"/>
    <s v="AJIO New Year Blowout"/>
    <x v="3"/>
    <x v="8"/>
    <x v="3"/>
    <s v="Website"/>
    <x v="3"/>
    <x v="0"/>
    <n v="1"/>
    <n v="3632"/>
    <n v="3632"/>
    <n v="0"/>
    <n v="0"/>
    <n v="3632"/>
    <n v="2159"/>
    <n v="1473"/>
    <n v="0"/>
    <n v="0"/>
    <n v="3.8"/>
  </r>
  <r>
    <s v="ORD00215"/>
    <x v="1"/>
    <x v="29"/>
    <s v="AJIO Mega Brand Sale"/>
    <x v="4"/>
    <x v="5"/>
    <x v="1"/>
    <s v="App"/>
    <x v="4"/>
    <x v="1"/>
    <n v="2"/>
    <n v="1159"/>
    <n v="2318"/>
    <n v="10"/>
    <n v="232"/>
    <n v="2086"/>
    <n v="1205"/>
    <n v="881"/>
    <n v="1"/>
    <n v="1043"/>
    <n v="4"/>
  </r>
  <r>
    <s v="ORD00221"/>
    <x v="1"/>
    <x v="30"/>
    <s v="AJIO Sports Carnival"/>
    <x v="1"/>
    <x v="1"/>
    <x v="0"/>
    <s v="App"/>
    <x v="1"/>
    <x v="2"/>
    <n v="6"/>
    <n v="4346"/>
    <n v="26076"/>
    <n v="30"/>
    <n v="7823"/>
    <n v="18253"/>
    <n v="8971"/>
    <n v="9282"/>
    <n v="0"/>
    <n v="0"/>
    <n v="4.5"/>
  </r>
  <r>
    <s v="ORD00278"/>
    <x v="1"/>
    <x v="30"/>
    <s v="AJIO New Year Blowout"/>
    <x v="1"/>
    <x v="2"/>
    <x v="4"/>
    <s v="Mobile Web"/>
    <x v="3"/>
    <x v="1"/>
    <n v="9"/>
    <n v="2452"/>
    <n v="22068"/>
    <n v="0"/>
    <n v="0"/>
    <n v="22068"/>
    <n v="14270"/>
    <n v="7798"/>
    <n v="2"/>
    <n v="4904"/>
    <n v="4"/>
  </r>
  <r>
    <s v="ORD00421"/>
    <x v="1"/>
    <x v="31"/>
    <s v="AJIO Mega Brand Sale"/>
    <x v="6"/>
    <x v="6"/>
    <x v="4"/>
    <s v="Website"/>
    <x v="3"/>
    <x v="0"/>
    <n v="6"/>
    <n v="1918"/>
    <n v="11508"/>
    <n v="0"/>
    <n v="0"/>
    <n v="11508"/>
    <n v="7393"/>
    <n v="4115"/>
    <n v="0"/>
    <n v="0"/>
    <n v="5"/>
  </r>
  <r>
    <s v="ORD00067"/>
    <x v="1"/>
    <x v="32"/>
    <s v="AJIO New Year Blowout"/>
    <x v="1"/>
    <x v="0"/>
    <x v="4"/>
    <s v="Website"/>
    <x v="3"/>
    <x v="2"/>
    <n v="2"/>
    <n v="4330"/>
    <n v="8660"/>
    <n v="25"/>
    <n v="2165"/>
    <n v="6495"/>
    <n v="3591"/>
    <n v="2904"/>
    <n v="1"/>
    <n v="3248"/>
    <n v="3.2"/>
  </r>
  <r>
    <s v="ORD00439"/>
    <x v="1"/>
    <x v="32"/>
    <s v="AJIO Mega Brand Sale"/>
    <x v="4"/>
    <x v="2"/>
    <x v="2"/>
    <s v="App"/>
    <x v="1"/>
    <x v="2"/>
    <n v="9"/>
    <n v="935"/>
    <n v="8415"/>
    <n v="30"/>
    <n v="2524"/>
    <n v="5891"/>
    <n v="3127"/>
    <n v="2764"/>
    <n v="0"/>
    <n v="0"/>
    <n v="2.9"/>
  </r>
  <r>
    <s v="ORD00470"/>
    <x v="1"/>
    <x v="32"/>
    <s v="AJIO Sports Carnival"/>
    <x v="2"/>
    <x v="5"/>
    <x v="3"/>
    <s v="Mobile Web"/>
    <x v="2"/>
    <x v="0"/>
    <n v="11"/>
    <n v="1000"/>
    <n v="11000"/>
    <n v="50"/>
    <n v="5500"/>
    <n v="5500"/>
    <n v="2876"/>
    <n v="2624"/>
    <n v="2"/>
    <n v="1000"/>
    <n v="3.9"/>
  </r>
  <r>
    <s v="ORD00191"/>
    <x v="1"/>
    <x v="33"/>
    <s v="AJIO Festive Rush"/>
    <x v="1"/>
    <x v="6"/>
    <x v="4"/>
    <s v="Mobile Web"/>
    <x v="0"/>
    <x v="0"/>
    <n v="11"/>
    <n v="343"/>
    <n v="3773"/>
    <n v="10"/>
    <n v="377"/>
    <n v="3396"/>
    <n v="1598"/>
    <n v="1798"/>
    <n v="1"/>
    <n v="309"/>
    <n v="4.0999999999999996"/>
  </r>
  <r>
    <s v="ORD00309"/>
    <x v="1"/>
    <x v="33"/>
    <s v="AJIO Luxury Week"/>
    <x v="3"/>
    <x v="0"/>
    <x v="0"/>
    <s v="App"/>
    <x v="0"/>
    <x v="1"/>
    <n v="8"/>
    <n v="1577"/>
    <n v="12616"/>
    <n v="30"/>
    <n v="3785"/>
    <n v="8831"/>
    <n v="5497"/>
    <n v="3334"/>
    <n v="1"/>
    <n v="1104"/>
    <n v="4.5"/>
  </r>
  <r>
    <s v="ORD00415"/>
    <x v="1"/>
    <x v="33"/>
    <s v="AJIO End of Season"/>
    <x v="0"/>
    <x v="6"/>
    <x v="3"/>
    <s v="App"/>
    <x v="2"/>
    <x v="2"/>
    <n v="6"/>
    <n v="4026"/>
    <n v="24156"/>
    <n v="10"/>
    <n v="2416"/>
    <n v="21740"/>
    <n v="12437"/>
    <n v="9303"/>
    <n v="0"/>
    <n v="0"/>
    <n v="4"/>
  </r>
  <r>
    <s v="ORD00017"/>
    <x v="1"/>
    <x v="34"/>
    <s v="AJIO Fashion Fiesta"/>
    <x v="6"/>
    <x v="6"/>
    <x v="1"/>
    <s v="Website"/>
    <x v="0"/>
    <x v="1"/>
    <n v="14"/>
    <n v="3726"/>
    <n v="52164"/>
    <n v="5"/>
    <n v="2608"/>
    <n v="49556"/>
    <n v="23051"/>
    <n v="26505"/>
    <n v="2"/>
    <n v="7079"/>
    <n v="4.5"/>
  </r>
  <r>
    <s v="ORD00318"/>
    <x v="1"/>
    <x v="35"/>
    <s v="AJIO Luxury Week"/>
    <x v="5"/>
    <x v="3"/>
    <x v="2"/>
    <s v="Website"/>
    <x v="3"/>
    <x v="2"/>
    <n v="13"/>
    <n v="1671"/>
    <n v="21723"/>
    <n v="50"/>
    <n v="10862"/>
    <n v="10861"/>
    <n v="5903"/>
    <n v="4958"/>
    <n v="0"/>
    <n v="0"/>
    <n v="2.6"/>
  </r>
  <r>
    <s v="ORD00019"/>
    <x v="1"/>
    <x v="36"/>
    <s v="AJIO Big Bold Sale"/>
    <x v="6"/>
    <x v="2"/>
    <x v="2"/>
    <s v="App"/>
    <x v="4"/>
    <x v="0"/>
    <n v="7"/>
    <n v="2582"/>
    <n v="18074"/>
    <n v="15"/>
    <n v="2711"/>
    <n v="15363"/>
    <n v="10234"/>
    <n v="5129"/>
    <n v="0"/>
    <n v="0"/>
    <n v="2.9"/>
  </r>
  <r>
    <s v="ORD00227"/>
    <x v="1"/>
    <x v="36"/>
    <s v="AJIO End of Season"/>
    <x v="4"/>
    <x v="7"/>
    <x v="2"/>
    <s v="App"/>
    <x v="4"/>
    <x v="1"/>
    <n v="8"/>
    <n v="302"/>
    <n v="2416"/>
    <n v="30"/>
    <n v="725"/>
    <n v="1691"/>
    <n v="846"/>
    <n v="845"/>
    <n v="2"/>
    <n v="423"/>
    <n v="4.8"/>
  </r>
  <r>
    <s v="ORD00161"/>
    <x v="1"/>
    <x v="37"/>
    <s v="AJIO Sports Carnival"/>
    <x v="1"/>
    <x v="0"/>
    <x v="4"/>
    <s v="App"/>
    <x v="4"/>
    <x v="0"/>
    <n v="9"/>
    <n v="4895"/>
    <n v="44055"/>
    <n v="10"/>
    <n v="4406"/>
    <n v="39649"/>
    <n v="21875"/>
    <n v="17774"/>
    <n v="1"/>
    <n v="4406"/>
    <n v="3.7"/>
  </r>
  <r>
    <s v="ORD00307"/>
    <x v="1"/>
    <x v="37"/>
    <s v="AJIO Festive Rush"/>
    <x v="3"/>
    <x v="3"/>
    <x v="4"/>
    <s v="Website"/>
    <x v="3"/>
    <x v="1"/>
    <n v="1"/>
    <n v="768"/>
    <n v="768"/>
    <n v="10"/>
    <n v="77"/>
    <n v="691"/>
    <n v="462"/>
    <n v="229"/>
    <n v="1"/>
    <n v="691"/>
    <n v="3.4"/>
  </r>
  <r>
    <s v="ORD00409"/>
    <x v="1"/>
    <x v="37"/>
    <s v="AJIO Fashion Fiesta"/>
    <x v="4"/>
    <x v="3"/>
    <x v="3"/>
    <s v="Website"/>
    <x v="4"/>
    <x v="0"/>
    <n v="9"/>
    <n v="3386"/>
    <n v="30474"/>
    <n v="10"/>
    <n v="3047"/>
    <n v="27427"/>
    <n v="16171"/>
    <n v="11256"/>
    <n v="2"/>
    <n v="6095"/>
    <n v="3.5"/>
  </r>
  <r>
    <s v="ORD00059"/>
    <x v="1"/>
    <x v="38"/>
    <s v="AJIO Fashion Fiesta"/>
    <x v="5"/>
    <x v="9"/>
    <x v="3"/>
    <s v="Website"/>
    <x v="0"/>
    <x v="1"/>
    <n v="8"/>
    <n v="1900"/>
    <n v="15200"/>
    <n v="0"/>
    <n v="0"/>
    <n v="15200"/>
    <n v="7799"/>
    <n v="7401"/>
    <n v="1"/>
    <n v="1900"/>
    <n v="2.8"/>
  </r>
  <r>
    <s v="ORD00198"/>
    <x v="1"/>
    <x v="38"/>
    <s v="AJIO Mega Brand Sale"/>
    <x v="2"/>
    <x v="1"/>
    <x v="0"/>
    <s v="Website"/>
    <x v="0"/>
    <x v="2"/>
    <n v="9"/>
    <n v="2707"/>
    <n v="24363"/>
    <n v="5"/>
    <n v="1218"/>
    <n v="23145"/>
    <n v="10567"/>
    <n v="12578"/>
    <n v="1"/>
    <n v="2572"/>
    <n v="3.9"/>
  </r>
  <r>
    <s v="ORD00493"/>
    <x v="1"/>
    <x v="38"/>
    <s v="AJIO New Year Blowout"/>
    <x v="6"/>
    <x v="1"/>
    <x v="2"/>
    <s v="Mobile Web"/>
    <x v="3"/>
    <x v="1"/>
    <n v="1"/>
    <n v="4513"/>
    <n v="4513"/>
    <n v="10"/>
    <n v="451"/>
    <n v="4062"/>
    <n v="2491"/>
    <n v="1571"/>
    <n v="0"/>
    <n v="0"/>
    <n v="4.8"/>
  </r>
  <r>
    <s v="ORD00336"/>
    <x v="1"/>
    <x v="39"/>
    <s v="AJIO Big Bold Sale"/>
    <x v="2"/>
    <x v="2"/>
    <x v="4"/>
    <s v="Mobile Web"/>
    <x v="2"/>
    <x v="2"/>
    <n v="11"/>
    <n v="1022"/>
    <n v="11242"/>
    <n v="40"/>
    <n v="4497"/>
    <n v="6745"/>
    <n v="4244"/>
    <n v="2501"/>
    <n v="0"/>
    <n v="0"/>
    <n v="2.7"/>
  </r>
  <r>
    <s v="ORD00208"/>
    <x v="1"/>
    <x v="40"/>
    <s v="AJIO Mega Brand Sale"/>
    <x v="6"/>
    <x v="1"/>
    <x v="1"/>
    <s v="App"/>
    <x v="1"/>
    <x v="2"/>
    <n v="9"/>
    <n v="2922"/>
    <n v="26298"/>
    <n v="15"/>
    <n v="3945"/>
    <n v="22353"/>
    <n v="12550"/>
    <n v="9803"/>
    <n v="1"/>
    <n v="2484"/>
    <n v="3.7"/>
  </r>
  <r>
    <s v="ORD00339"/>
    <x v="1"/>
    <x v="40"/>
    <s v="AJIO New Year Blowout"/>
    <x v="3"/>
    <x v="4"/>
    <x v="3"/>
    <s v="App"/>
    <x v="3"/>
    <x v="1"/>
    <n v="7"/>
    <n v="2156"/>
    <n v="15092"/>
    <n v="0"/>
    <n v="0"/>
    <n v="15092"/>
    <n v="8580"/>
    <n v="6512"/>
    <n v="0"/>
    <n v="0"/>
    <n v="2.8"/>
  </r>
  <r>
    <s v="ORD00497"/>
    <x v="1"/>
    <x v="40"/>
    <s v="AJIO Fashion Fiesta"/>
    <x v="4"/>
    <x v="0"/>
    <x v="4"/>
    <s v="App"/>
    <x v="0"/>
    <x v="2"/>
    <n v="4"/>
    <n v="957"/>
    <n v="3828"/>
    <n v="15"/>
    <n v="574"/>
    <n v="3254"/>
    <n v="1485"/>
    <n v="1769"/>
    <n v="0"/>
    <n v="0"/>
    <n v="3.7"/>
  </r>
  <r>
    <s v="ORD00250"/>
    <x v="1"/>
    <x v="41"/>
    <s v="AJIO Summer Splash"/>
    <x v="2"/>
    <x v="1"/>
    <x v="0"/>
    <s v="Website"/>
    <x v="0"/>
    <x v="1"/>
    <n v="7"/>
    <n v="866"/>
    <n v="6062"/>
    <n v="25"/>
    <n v="1516"/>
    <n v="4546"/>
    <n v="3142"/>
    <n v="1404"/>
    <n v="0"/>
    <n v="0"/>
    <n v="3.6"/>
  </r>
  <r>
    <s v="ORD00437"/>
    <x v="1"/>
    <x v="41"/>
    <s v="AJIO Summer Splash"/>
    <x v="1"/>
    <x v="7"/>
    <x v="2"/>
    <s v="App"/>
    <x v="1"/>
    <x v="2"/>
    <n v="7"/>
    <n v="4923"/>
    <n v="34461"/>
    <n v="0"/>
    <n v="0"/>
    <n v="34461"/>
    <n v="20312"/>
    <n v="14149"/>
    <n v="0"/>
    <n v="0"/>
    <n v="3"/>
  </r>
  <r>
    <s v="ORD00104"/>
    <x v="1"/>
    <x v="42"/>
    <s v="AJIO Luxury Week"/>
    <x v="3"/>
    <x v="8"/>
    <x v="4"/>
    <s v="Mobile Web"/>
    <x v="3"/>
    <x v="0"/>
    <n v="4"/>
    <n v="2157"/>
    <n v="8628"/>
    <n v="0"/>
    <n v="0"/>
    <n v="8628"/>
    <n v="3899"/>
    <n v="4729"/>
    <n v="1"/>
    <n v="2157"/>
    <n v="4.9000000000000004"/>
  </r>
  <r>
    <s v="ORD00263"/>
    <x v="1"/>
    <x v="42"/>
    <s v="AJIO Luxury Week"/>
    <x v="5"/>
    <x v="2"/>
    <x v="1"/>
    <s v="App"/>
    <x v="3"/>
    <x v="2"/>
    <n v="11"/>
    <n v="2158"/>
    <n v="23738"/>
    <n v="5"/>
    <n v="1187"/>
    <n v="22551"/>
    <n v="12045"/>
    <n v="10506"/>
    <n v="1"/>
    <n v="2050"/>
    <n v="2.8"/>
  </r>
  <r>
    <s v="ORD00279"/>
    <x v="1"/>
    <x v="43"/>
    <s v="AJIO Back to Campus"/>
    <x v="1"/>
    <x v="5"/>
    <x v="0"/>
    <s v="Mobile Web"/>
    <x v="1"/>
    <x v="2"/>
    <n v="13"/>
    <n v="4834"/>
    <n v="62842"/>
    <n v="5"/>
    <n v="3142"/>
    <n v="59700"/>
    <n v="40670"/>
    <n v="19030"/>
    <n v="0"/>
    <n v="0"/>
    <n v="4.5"/>
  </r>
  <r>
    <s v="ORD00310"/>
    <x v="1"/>
    <x v="43"/>
    <s v="AJIO Mega Brand Sale"/>
    <x v="2"/>
    <x v="9"/>
    <x v="0"/>
    <s v="App"/>
    <x v="0"/>
    <x v="2"/>
    <n v="8"/>
    <n v="4070"/>
    <n v="32560"/>
    <n v="40"/>
    <n v="13024"/>
    <n v="19536"/>
    <n v="9676"/>
    <n v="9860"/>
    <n v="1"/>
    <n v="2442"/>
    <n v="4.4000000000000004"/>
  </r>
  <r>
    <s v="ORD00273"/>
    <x v="2"/>
    <x v="44"/>
    <s v="AJIO Summer Splash"/>
    <x v="3"/>
    <x v="6"/>
    <x v="4"/>
    <s v="Website"/>
    <x v="3"/>
    <x v="0"/>
    <n v="11"/>
    <n v="2856"/>
    <n v="31416"/>
    <n v="10"/>
    <n v="3142"/>
    <n v="28274"/>
    <n v="15346"/>
    <n v="12928"/>
    <n v="1"/>
    <n v="2570"/>
    <n v="3.4"/>
  </r>
  <r>
    <s v="ORD00443"/>
    <x v="2"/>
    <x v="45"/>
    <s v="AJIO Summer Splash"/>
    <x v="2"/>
    <x v="3"/>
    <x v="2"/>
    <s v="Mobile Web"/>
    <x v="3"/>
    <x v="0"/>
    <n v="8"/>
    <n v="2638"/>
    <n v="21104"/>
    <n v="40"/>
    <n v="8442"/>
    <n v="12662"/>
    <n v="7418"/>
    <n v="5244"/>
    <n v="0"/>
    <n v="0"/>
    <n v="4"/>
  </r>
  <r>
    <s v="ORD00230"/>
    <x v="2"/>
    <x v="46"/>
    <s v="AJIO Luxury Week"/>
    <x v="5"/>
    <x v="6"/>
    <x v="0"/>
    <s v="Website"/>
    <x v="2"/>
    <x v="0"/>
    <n v="7"/>
    <n v="719"/>
    <n v="5033"/>
    <n v="5"/>
    <n v="252"/>
    <n v="4781"/>
    <n v="2275"/>
    <n v="2506"/>
    <n v="1"/>
    <n v="683"/>
    <n v="4.7"/>
  </r>
  <r>
    <s v="ORD00302"/>
    <x v="2"/>
    <x v="47"/>
    <s v="AJIO Big Bold Sale"/>
    <x v="3"/>
    <x v="9"/>
    <x v="4"/>
    <s v="Mobile Web"/>
    <x v="3"/>
    <x v="2"/>
    <n v="10"/>
    <n v="527"/>
    <n v="5270"/>
    <n v="0"/>
    <n v="0"/>
    <n v="5270"/>
    <n v="3244"/>
    <n v="2026"/>
    <n v="2"/>
    <n v="1054"/>
    <n v="4.5999999999999996"/>
  </r>
  <r>
    <s v="ORD00401"/>
    <x v="2"/>
    <x v="48"/>
    <s v="AJIO Big Bold Sale"/>
    <x v="1"/>
    <x v="3"/>
    <x v="1"/>
    <s v="Mobile Web"/>
    <x v="3"/>
    <x v="1"/>
    <n v="12"/>
    <n v="1206"/>
    <n v="14472"/>
    <n v="30"/>
    <n v="4342"/>
    <n v="10130"/>
    <n v="5466"/>
    <n v="4664"/>
    <n v="1"/>
    <n v="844"/>
    <n v="3.1"/>
  </r>
  <r>
    <s v="ORD00116"/>
    <x v="2"/>
    <x v="49"/>
    <s v="AJIO Summer Splash"/>
    <x v="4"/>
    <x v="2"/>
    <x v="2"/>
    <s v="Mobile Web"/>
    <x v="0"/>
    <x v="2"/>
    <n v="6"/>
    <n v="385"/>
    <n v="2310"/>
    <n v="20"/>
    <n v="462"/>
    <n v="1848"/>
    <n v="915"/>
    <n v="933"/>
    <n v="0"/>
    <n v="0"/>
    <n v="3.4"/>
  </r>
  <r>
    <s v="ORD00151"/>
    <x v="2"/>
    <x v="49"/>
    <s v="AJIO Luxury Week"/>
    <x v="6"/>
    <x v="6"/>
    <x v="1"/>
    <s v="Website"/>
    <x v="1"/>
    <x v="1"/>
    <n v="13"/>
    <n v="977"/>
    <n v="12701"/>
    <n v="50"/>
    <n v="6350"/>
    <n v="6351"/>
    <n v="3495"/>
    <n v="2856"/>
    <n v="0"/>
    <n v="0"/>
    <n v="2.6"/>
  </r>
  <r>
    <s v="ORD00265"/>
    <x v="2"/>
    <x v="49"/>
    <s v="AJIO Luxury Week"/>
    <x v="2"/>
    <x v="9"/>
    <x v="3"/>
    <s v="Website"/>
    <x v="1"/>
    <x v="0"/>
    <n v="3"/>
    <n v="3130"/>
    <n v="9390"/>
    <n v="15"/>
    <n v="1408"/>
    <n v="7982"/>
    <n v="4868"/>
    <n v="3114"/>
    <n v="0"/>
    <n v="0"/>
    <n v="4.8"/>
  </r>
  <r>
    <s v="ORD00139"/>
    <x v="2"/>
    <x v="50"/>
    <s v="AJIO Festive Rush"/>
    <x v="0"/>
    <x v="1"/>
    <x v="2"/>
    <s v="Website"/>
    <x v="0"/>
    <x v="2"/>
    <n v="12"/>
    <n v="2549"/>
    <n v="30588"/>
    <n v="30"/>
    <n v="9176"/>
    <n v="21412"/>
    <n v="13753"/>
    <n v="7659"/>
    <n v="0"/>
    <n v="0"/>
    <n v="2.8"/>
  </r>
  <r>
    <s v="ORD00298"/>
    <x v="2"/>
    <x v="50"/>
    <s v="AJIO Festive Rush"/>
    <x v="0"/>
    <x v="6"/>
    <x v="4"/>
    <s v="Website"/>
    <x v="0"/>
    <x v="1"/>
    <n v="7"/>
    <n v="321"/>
    <n v="2247"/>
    <n v="50"/>
    <n v="1124"/>
    <n v="1123"/>
    <n v="561"/>
    <n v="562"/>
    <n v="1"/>
    <n v="160"/>
    <n v="4.9000000000000004"/>
  </r>
  <r>
    <s v="ORD00118"/>
    <x v="2"/>
    <x v="51"/>
    <s v="AJIO Sports Carnival"/>
    <x v="0"/>
    <x v="6"/>
    <x v="0"/>
    <s v="App"/>
    <x v="4"/>
    <x v="2"/>
    <n v="13"/>
    <n v="3235"/>
    <n v="42055"/>
    <n v="10"/>
    <n v="4206"/>
    <n v="37849"/>
    <n v="23856"/>
    <n v="13993"/>
    <n v="0"/>
    <n v="0"/>
    <n v="3.5"/>
  </r>
  <r>
    <s v="ORD00358"/>
    <x v="2"/>
    <x v="51"/>
    <s v="AJIO Back to Campus"/>
    <x v="6"/>
    <x v="9"/>
    <x v="0"/>
    <s v="Mobile Web"/>
    <x v="1"/>
    <x v="2"/>
    <n v="7"/>
    <n v="4184"/>
    <n v="29288"/>
    <n v="5"/>
    <n v="1464"/>
    <n v="27824"/>
    <n v="13755"/>
    <n v="14069"/>
    <n v="0"/>
    <n v="0"/>
    <n v="4.7"/>
  </r>
  <r>
    <s v="ORD00431"/>
    <x v="2"/>
    <x v="52"/>
    <s v="AJIO Festive Rush"/>
    <x v="1"/>
    <x v="5"/>
    <x v="3"/>
    <s v="App"/>
    <x v="3"/>
    <x v="0"/>
    <n v="9"/>
    <n v="2804"/>
    <n v="25236"/>
    <n v="5"/>
    <n v="1262"/>
    <n v="23974"/>
    <n v="11892"/>
    <n v="12082"/>
    <n v="0"/>
    <n v="0"/>
    <n v="4.3"/>
  </r>
  <r>
    <s v="ORD00088"/>
    <x v="2"/>
    <x v="53"/>
    <s v="AJIO Back to Campus"/>
    <x v="6"/>
    <x v="9"/>
    <x v="1"/>
    <s v="Website"/>
    <x v="2"/>
    <x v="0"/>
    <n v="4"/>
    <n v="4469"/>
    <n v="17876"/>
    <n v="10"/>
    <n v="1788"/>
    <n v="16088"/>
    <n v="8803"/>
    <n v="7285"/>
    <n v="1"/>
    <n v="4022"/>
    <n v="4.2"/>
  </r>
  <r>
    <s v="ORD00008"/>
    <x v="2"/>
    <x v="54"/>
    <s v="AJIO Luxury Week"/>
    <x v="3"/>
    <x v="5"/>
    <x v="0"/>
    <s v="Mobile Web"/>
    <x v="1"/>
    <x v="2"/>
    <n v="5"/>
    <n v="3810"/>
    <n v="19050"/>
    <n v="30"/>
    <n v="5715"/>
    <n v="13335"/>
    <n v="8994"/>
    <n v="4341"/>
    <n v="1"/>
    <n v="2667"/>
    <n v="3.4"/>
  </r>
  <r>
    <s v="ORD00380"/>
    <x v="2"/>
    <x v="55"/>
    <s v="AJIO End of Season"/>
    <x v="5"/>
    <x v="5"/>
    <x v="4"/>
    <s v="App"/>
    <x v="4"/>
    <x v="1"/>
    <n v="8"/>
    <n v="931"/>
    <n v="7448"/>
    <n v="50"/>
    <n v="3724"/>
    <n v="3724"/>
    <n v="2173"/>
    <n v="1551"/>
    <n v="1"/>
    <n v="466"/>
    <n v="4.5"/>
  </r>
  <r>
    <s v="ORD00423"/>
    <x v="2"/>
    <x v="56"/>
    <s v="AJIO Back to Campus"/>
    <x v="5"/>
    <x v="4"/>
    <x v="2"/>
    <s v="Website"/>
    <x v="2"/>
    <x v="1"/>
    <n v="8"/>
    <n v="2514"/>
    <n v="20112"/>
    <n v="25"/>
    <n v="5028"/>
    <n v="15084"/>
    <n v="7576"/>
    <n v="7508"/>
    <n v="2"/>
    <n v="3771"/>
    <n v="3"/>
  </r>
  <r>
    <s v="ORD00394"/>
    <x v="2"/>
    <x v="57"/>
    <s v="AJIO Big Bold Sale"/>
    <x v="6"/>
    <x v="2"/>
    <x v="2"/>
    <s v="App"/>
    <x v="2"/>
    <x v="1"/>
    <n v="5"/>
    <n v="887"/>
    <n v="4435"/>
    <n v="40"/>
    <n v="1774"/>
    <n v="2661"/>
    <n v="1681"/>
    <n v="980"/>
    <n v="0"/>
    <n v="0"/>
    <n v="2.7"/>
  </r>
  <r>
    <s v="ORD00098"/>
    <x v="2"/>
    <x v="58"/>
    <s v="AJIO Back to Campus"/>
    <x v="4"/>
    <x v="7"/>
    <x v="2"/>
    <s v="App"/>
    <x v="2"/>
    <x v="0"/>
    <n v="7"/>
    <n v="753"/>
    <n v="5271"/>
    <n v="25"/>
    <n v="1318"/>
    <n v="3953"/>
    <n v="2581"/>
    <n v="1372"/>
    <n v="0"/>
    <n v="0"/>
    <n v="4"/>
  </r>
  <r>
    <s v="ORD00418"/>
    <x v="2"/>
    <x v="58"/>
    <s v="AJIO Fashion Fiesta"/>
    <x v="6"/>
    <x v="6"/>
    <x v="4"/>
    <s v="Mobile Web"/>
    <x v="1"/>
    <x v="2"/>
    <n v="2"/>
    <n v="1343"/>
    <n v="2686"/>
    <n v="20"/>
    <n v="537"/>
    <n v="2149"/>
    <n v="1390"/>
    <n v="759"/>
    <n v="0"/>
    <n v="0"/>
    <n v="2.8"/>
  </r>
  <r>
    <s v="ORD00011"/>
    <x v="2"/>
    <x v="59"/>
    <s v="AJIO Luxury Week"/>
    <x v="1"/>
    <x v="9"/>
    <x v="1"/>
    <s v="Mobile Web"/>
    <x v="4"/>
    <x v="2"/>
    <n v="15"/>
    <n v="799"/>
    <n v="11985"/>
    <n v="20"/>
    <n v="2397"/>
    <n v="9588"/>
    <n v="6332"/>
    <n v="3256"/>
    <n v="1"/>
    <n v="639"/>
    <n v="2.9"/>
  </r>
  <r>
    <s v="ORD00003"/>
    <x v="2"/>
    <x v="60"/>
    <s v="AJIO Mega Brand Sale"/>
    <x v="4"/>
    <x v="6"/>
    <x v="1"/>
    <s v="Website"/>
    <x v="4"/>
    <x v="0"/>
    <n v="13"/>
    <n v="1881"/>
    <n v="24453"/>
    <n v="5"/>
    <n v="1223"/>
    <n v="23230"/>
    <n v="12660"/>
    <n v="10570"/>
    <n v="2"/>
    <n v="3574"/>
    <n v="4.5999999999999996"/>
  </r>
  <r>
    <s v="ORD00228"/>
    <x v="2"/>
    <x v="60"/>
    <s v="AJIO Sports Carnival"/>
    <x v="5"/>
    <x v="4"/>
    <x v="2"/>
    <s v="Mobile Web"/>
    <x v="3"/>
    <x v="1"/>
    <n v="2"/>
    <n v="2047"/>
    <n v="4094"/>
    <n v="10"/>
    <n v="409"/>
    <n v="3685"/>
    <n v="1706"/>
    <n v="1979"/>
    <n v="1"/>
    <n v="1842"/>
    <n v="4.3"/>
  </r>
  <r>
    <s v="ORD00332"/>
    <x v="2"/>
    <x v="60"/>
    <s v="AJIO Mega Brand Sale"/>
    <x v="1"/>
    <x v="2"/>
    <x v="3"/>
    <s v="Website"/>
    <x v="2"/>
    <x v="1"/>
    <n v="4"/>
    <n v="4451"/>
    <n v="17804"/>
    <n v="25"/>
    <n v="4451"/>
    <n v="13353"/>
    <n v="7114"/>
    <n v="6239"/>
    <n v="1"/>
    <n v="3338"/>
    <n v="3"/>
  </r>
  <r>
    <s v="ORD00326"/>
    <x v="2"/>
    <x v="61"/>
    <s v="AJIO Back to Campus"/>
    <x v="3"/>
    <x v="4"/>
    <x v="0"/>
    <s v="App"/>
    <x v="3"/>
    <x v="0"/>
    <n v="13"/>
    <n v="2843"/>
    <n v="36959"/>
    <n v="25"/>
    <n v="9240"/>
    <n v="27719"/>
    <n v="18115"/>
    <n v="9604"/>
    <n v="0"/>
    <n v="0"/>
    <n v="4"/>
  </r>
  <r>
    <s v="ORD00085"/>
    <x v="2"/>
    <x v="62"/>
    <s v="AJIO New Year Blowout"/>
    <x v="3"/>
    <x v="7"/>
    <x v="1"/>
    <s v="Mobile Web"/>
    <x v="3"/>
    <x v="0"/>
    <n v="8"/>
    <n v="4825"/>
    <n v="38600"/>
    <n v="10"/>
    <n v="3860"/>
    <n v="34740"/>
    <n v="22183"/>
    <n v="12557"/>
    <n v="0"/>
    <n v="0"/>
    <n v="4.7"/>
  </r>
  <r>
    <s v="ORD00240"/>
    <x v="2"/>
    <x v="63"/>
    <s v="AJIO Mega Brand Sale"/>
    <x v="3"/>
    <x v="5"/>
    <x v="1"/>
    <s v="Mobile Web"/>
    <x v="2"/>
    <x v="0"/>
    <n v="6"/>
    <n v="4092"/>
    <n v="24552"/>
    <n v="20"/>
    <n v="4910"/>
    <n v="19642"/>
    <n v="11411"/>
    <n v="8231"/>
    <n v="1"/>
    <n v="3274"/>
    <n v="4.3"/>
  </r>
  <r>
    <s v="ORD00300"/>
    <x v="2"/>
    <x v="63"/>
    <s v="AJIO Festive Rush"/>
    <x v="6"/>
    <x v="9"/>
    <x v="1"/>
    <s v="Website"/>
    <x v="0"/>
    <x v="2"/>
    <n v="9"/>
    <n v="3102"/>
    <n v="27918"/>
    <n v="25"/>
    <n v="6980"/>
    <n v="20938"/>
    <n v="11692"/>
    <n v="9246"/>
    <n v="2"/>
    <n v="4653"/>
    <n v="5"/>
  </r>
  <r>
    <s v="ORD00384"/>
    <x v="2"/>
    <x v="63"/>
    <s v="AJIO Festive Rush"/>
    <x v="4"/>
    <x v="0"/>
    <x v="4"/>
    <s v="Mobile Web"/>
    <x v="1"/>
    <x v="2"/>
    <n v="7"/>
    <n v="4289"/>
    <n v="30023"/>
    <n v="5"/>
    <n v="1501"/>
    <n v="28522"/>
    <n v="13399"/>
    <n v="15123"/>
    <n v="1"/>
    <n v="4075"/>
    <n v="3.1"/>
  </r>
  <r>
    <s v="ORD00219"/>
    <x v="2"/>
    <x v="64"/>
    <s v="AJIO Festive Rush"/>
    <x v="5"/>
    <x v="7"/>
    <x v="3"/>
    <s v="Mobile Web"/>
    <x v="0"/>
    <x v="2"/>
    <n v="9"/>
    <n v="831"/>
    <n v="7479"/>
    <n v="5"/>
    <n v="374"/>
    <n v="7105"/>
    <n v="3673"/>
    <n v="3432"/>
    <n v="2"/>
    <n v="1579"/>
    <n v="4.5999999999999996"/>
  </r>
  <r>
    <s v="ORD00370"/>
    <x v="2"/>
    <x v="65"/>
    <s v="AJIO Mega Brand Sale"/>
    <x v="1"/>
    <x v="2"/>
    <x v="2"/>
    <s v="Mobile Web"/>
    <x v="2"/>
    <x v="2"/>
    <n v="5"/>
    <n v="1897"/>
    <n v="9485"/>
    <n v="5"/>
    <n v="474"/>
    <n v="9011"/>
    <n v="5864"/>
    <n v="3147"/>
    <n v="1"/>
    <n v="1802"/>
    <n v="4.7"/>
  </r>
  <r>
    <s v="ORD00383"/>
    <x v="2"/>
    <x v="65"/>
    <s v="AJIO Luxury Week"/>
    <x v="5"/>
    <x v="4"/>
    <x v="1"/>
    <s v="Website"/>
    <x v="1"/>
    <x v="1"/>
    <n v="13"/>
    <n v="3761"/>
    <n v="48893"/>
    <n v="5"/>
    <n v="2445"/>
    <n v="46448"/>
    <n v="25327"/>
    <n v="21121"/>
    <n v="2"/>
    <n v="7146"/>
    <n v="3.7"/>
  </r>
  <r>
    <s v="ORD00203"/>
    <x v="3"/>
    <x v="66"/>
    <s v="AJIO Mega Brand Sale"/>
    <x v="1"/>
    <x v="0"/>
    <x v="1"/>
    <s v="Mobile Web"/>
    <x v="0"/>
    <x v="2"/>
    <n v="13"/>
    <n v="1438"/>
    <n v="18694"/>
    <n v="30"/>
    <n v="5608"/>
    <n v="13086"/>
    <n v="6806"/>
    <n v="6280"/>
    <n v="3"/>
    <n v="3020"/>
    <n v="3.4"/>
  </r>
  <r>
    <s v="ORD00033"/>
    <x v="3"/>
    <x v="67"/>
    <s v="AJIO Mega Brand Sale"/>
    <x v="0"/>
    <x v="4"/>
    <x v="2"/>
    <s v="App"/>
    <x v="1"/>
    <x v="1"/>
    <n v="6"/>
    <n v="3723"/>
    <n v="22338"/>
    <n v="25"/>
    <n v="5584"/>
    <n v="16754"/>
    <n v="9367"/>
    <n v="7387"/>
    <n v="0"/>
    <n v="0"/>
    <n v="3.5"/>
  </r>
  <r>
    <s v="ORD00243"/>
    <x v="3"/>
    <x v="67"/>
    <s v="AJIO Fashion Fiesta"/>
    <x v="5"/>
    <x v="9"/>
    <x v="3"/>
    <s v="Mobile Web"/>
    <x v="0"/>
    <x v="0"/>
    <n v="6"/>
    <n v="1466"/>
    <n v="8796"/>
    <n v="25"/>
    <n v="2199"/>
    <n v="6597"/>
    <n v="3416"/>
    <n v="3181"/>
    <n v="0"/>
    <n v="0"/>
    <n v="3.9"/>
  </r>
  <r>
    <s v="ORD00337"/>
    <x v="3"/>
    <x v="67"/>
    <s v="AJIO Big Bold Sale"/>
    <x v="5"/>
    <x v="4"/>
    <x v="3"/>
    <s v="App"/>
    <x v="1"/>
    <x v="0"/>
    <n v="15"/>
    <n v="1515"/>
    <n v="22725"/>
    <n v="30"/>
    <n v="6818"/>
    <n v="15907"/>
    <n v="8952"/>
    <n v="6955"/>
    <n v="3"/>
    <n v="3182"/>
    <n v="3.6"/>
  </r>
  <r>
    <s v="ORD00406"/>
    <x v="3"/>
    <x v="67"/>
    <s v="AJIO Sports Carnival"/>
    <x v="5"/>
    <x v="9"/>
    <x v="0"/>
    <s v="App"/>
    <x v="0"/>
    <x v="0"/>
    <n v="2"/>
    <n v="449"/>
    <n v="898"/>
    <n v="30"/>
    <n v="269"/>
    <n v="629"/>
    <n v="387"/>
    <n v="242"/>
    <n v="1"/>
    <n v="314"/>
    <n v="2.6"/>
  </r>
  <r>
    <s v="ORD00446"/>
    <x v="3"/>
    <x v="67"/>
    <s v="AJIO Fashion Fiesta"/>
    <x v="2"/>
    <x v="4"/>
    <x v="3"/>
    <s v="Mobile Web"/>
    <x v="1"/>
    <x v="2"/>
    <n v="13"/>
    <n v="2941"/>
    <n v="38233"/>
    <n v="40"/>
    <n v="15293"/>
    <n v="22940"/>
    <n v="14620"/>
    <n v="8320"/>
    <n v="2"/>
    <n v="3529"/>
    <n v="4.8"/>
  </r>
  <r>
    <s v="ORD00463"/>
    <x v="3"/>
    <x v="67"/>
    <s v="AJIO Summer Splash"/>
    <x v="4"/>
    <x v="8"/>
    <x v="3"/>
    <s v="Mobile Web"/>
    <x v="0"/>
    <x v="2"/>
    <n v="6"/>
    <n v="1767"/>
    <n v="10602"/>
    <n v="15"/>
    <n v="1590"/>
    <n v="9012"/>
    <n v="5662"/>
    <n v="3350"/>
    <n v="0"/>
    <n v="0"/>
    <n v="4.9000000000000004"/>
  </r>
  <r>
    <s v="ORD00434"/>
    <x v="3"/>
    <x v="68"/>
    <s v="AJIO New Year Blowout"/>
    <x v="5"/>
    <x v="6"/>
    <x v="4"/>
    <s v="Website"/>
    <x v="4"/>
    <x v="0"/>
    <n v="4"/>
    <n v="1362"/>
    <n v="5448"/>
    <n v="30"/>
    <n v="1634"/>
    <n v="3814"/>
    <n v="2445"/>
    <n v="1369"/>
    <n v="0"/>
    <n v="0"/>
    <n v="4.8"/>
  </r>
  <r>
    <s v="ORD00490"/>
    <x v="3"/>
    <x v="68"/>
    <s v="AJIO Festive Rush"/>
    <x v="6"/>
    <x v="5"/>
    <x v="1"/>
    <s v="Website"/>
    <x v="0"/>
    <x v="2"/>
    <n v="15"/>
    <n v="655"/>
    <n v="9825"/>
    <n v="40"/>
    <n v="3930"/>
    <n v="5895"/>
    <n v="4013"/>
    <n v="1882"/>
    <n v="2"/>
    <n v="786"/>
    <n v="4.4000000000000004"/>
  </r>
  <r>
    <s v="ORD00074"/>
    <x v="3"/>
    <x v="69"/>
    <s v="AJIO Luxury Week"/>
    <x v="4"/>
    <x v="3"/>
    <x v="3"/>
    <s v="Website"/>
    <x v="4"/>
    <x v="1"/>
    <n v="1"/>
    <n v="1794"/>
    <n v="1794"/>
    <n v="40"/>
    <n v="718"/>
    <n v="1076"/>
    <n v="674"/>
    <n v="402"/>
    <n v="1"/>
    <n v="1076"/>
    <n v="3.5"/>
  </r>
  <r>
    <s v="ORD00283"/>
    <x v="3"/>
    <x v="69"/>
    <s v="AJIO Back to Campus"/>
    <x v="1"/>
    <x v="3"/>
    <x v="4"/>
    <s v="Mobile Web"/>
    <x v="0"/>
    <x v="2"/>
    <n v="14"/>
    <n v="2056"/>
    <n v="28784"/>
    <n v="0"/>
    <n v="0"/>
    <n v="28784"/>
    <n v="16661"/>
    <n v="12123"/>
    <n v="1"/>
    <n v="2056"/>
    <n v="2.7"/>
  </r>
  <r>
    <s v="ORD00034"/>
    <x v="3"/>
    <x v="70"/>
    <s v="AJIO Festive Rush"/>
    <x v="3"/>
    <x v="9"/>
    <x v="4"/>
    <s v="App"/>
    <x v="1"/>
    <x v="2"/>
    <n v="11"/>
    <n v="3680"/>
    <n v="40480"/>
    <n v="15"/>
    <n v="6072"/>
    <n v="34408"/>
    <n v="18617"/>
    <n v="15791"/>
    <n v="0"/>
    <n v="0"/>
    <n v="4.9000000000000004"/>
  </r>
  <r>
    <s v="ORD00117"/>
    <x v="3"/>
    <x v="71"/>
    <s v="AJIO Mega Brand Sale"/>
    <x v="2"/>
    <x v="5"/>
    <x v="0"/>
    <s v="App"/>
    <x v="3"/>
    <x v="0"/>
    <n v="9"/>
    <n v="3922"/>
    <n v="35298"/>
    <n v="50"/>
    <n v="17649"/>
    <n v="17649"/>
    <n v="8109"/>
    <n v="9540"/>
    <n v="1"/>
    <n v="1961"/>
    <n v="4.7"/>
  </r>
  <r>
    <s v="ORD00039"/>
    <x v="3"/>
    <x v="72"/>
    <s v="AJIO Back to Campus"/>
    <x v="4"/>
    <x v="6"/>
    <x v="4"/>
    <s v="Website"/>
    <x v="4"/>
    <x v="0"/>
    <n v="11"/>
    <n v="3531"/>
    <n v="38841"/>
    <n v="5"/>
    <n v="1942"/>
    <n v="36899"/>
    <n v="23785"/>
    <n v="13114"/>
    <n v="0"/>
    <n v="0"/>
    <n v="2.9"/>
  </r>
  <r>
    <s v="ORD00150"/>
    <x v="3"/>
    <x v="72"/>
    <s v="AJIO Fashion Fiesta"/>
    <x v="3"/>
    <x v="2"/>
    <x v="1"/>
    <s v="App"/>
    <x v="0"/>
    <x v="2"/>
    <n v="8"/>
    <n v="3892"/>
    <n v="31136"/>
    <n v="20"/>
    <n v="6227"/>
    <n v="24909"/>
    <n v="16348"/>
    <n v="8561"/>
    <n v="2"/>
    <n v="6227"/>
    <n v="4.2"/>
  </r>
  <r>
    <s v="ORD00342"/>
    <x v="3"/>
    <x v="72"/>
    <s v="AJIO Mega Brand Sale"/>
    <x v="6"/>
    <x v="5"/>
    <x v="3"/>
    <s v="App"/>
    <x v="1"/>
    <x v="1"/>
    <n v="11"/>
    <n v="2882"/>
    <n v="31702"/>
    <n v="20"/>
    <n v="6340"/>
    <n v="25362"/>
    <n v="15672"/>
    <n v="9690"/>
    <n v="1"/>
    <n v="2306"/>
    <n v="2.7"/>
  </r>
  <r>
    <s v="ORD00142"/>
    <x v="3"/>
    <x v="73"/>
    <s v="AJIO Mega Brand Sale"/>
    <x v="4"/>
    <x v="2"/>
    <x v="1"/>
    <s v="App"/>
    <x v="3"/>
    <x v="2"/>
    <n v="9"/>
    <n v="738"/>
    <n v="6642"/>
    <n v="10"/>
    <n v="664"/>
    <n v="5978"/>
    <n v="3575"/>
    <n v="2403"/>
    <n v="2"/>
    <n v="1328"/>
    <n v="2.9"/>
  </r>
  <r>
    <s v="ORD00397"/>
    <x v="3"/>
    <x v="74"/>
    <s v="AJIO Big Bold Sale"/>
    <x v="1"/>
    <x v="1"/>
    <x v="3"/>
    <s v="Mobile Web"/>
    <x v="4"/>
    <x v="1"/>
    <n v="7"/>
    <n v="3502"/>
    <n v="24514"/>
    <n v="20"/>
    <n v="4903"/>
    <n v="19611"/>
    <n v="13415"/>
    <n v="6196"/>
    <n v="0"/>
    <n v="0"/>
    <n v="4.0999999999999996"/>
  </r>
  <r>
    <s v="ORD00204"/>
    <x v="3"/>
    <x v="75"/>
    <s v="AJIO Fashion Fiesta"/>
    <x v="0"/>
    <x v="2"/>
    <x v="0"/>
    <s v="Mobile Web"/>
    <x v="1"/>
    <x v="0"/>
    <n v="12"/>
    <n v="2469"/>
    <n v="29628"/>
    <n v="15"/>
    <n v="4444"/>
    <n v="25184"/>
    <n v="14093"/>
    <n v="11091"/>
    <n v="2"/>
    <n v="4197"/>
    <n v="4.5999999999999996"/>
  </r>
  <r>
    <s v="ORD00213"/>
    <x v="3"/>
    <x v="76"/>
    <s v="AJIO Festive Rush"/>
    <x v="3"/>
    <x v="1"/>
    <x v="3"/>
    <s v="App"/>
    <x v="1"/>
    <x v="0"/>
    <n v="6"/>
    <n v="1831"/>
    <n v="10986"/>
    <n v="40"/>
    <n v="4394"/>
    <n v="6592"/>
    <n v="3154"/>
    <n v="3438"/>
    <n v="1"/>
    <n v="1099"/>
    <n v="3.8"/>
  </r>
  <r>
    <s v="ORD00471"/>
    <x v="3"/>
    <x v="76"/>
    <s v="AJIO Back to Campus"/>
    <x v="4"/>
    <x v="0"/>
    <x v="1"/>
    <s v="Mobile Web"/>
    <x v="3"/>
    <x v="1"/>
    <n v="12"/>
    <n v="4917"/>
    <n v="59004"/>
    <n v="25"/>
    <n v="14751"/>
    <n v="44253"/>
    <n v="30870"/>
    <n v="13383"/>
    <n v="0"/>
    <n v="0"/>
    <n v="4"/>
  </r>
  <r>
    <s v="ORD00062"/>
    <x v="3"/>
    <x v="77"/>
    <s v="AJIO Mega Brand Sale"/>
    <x v="4"/>
    <x v="3"/>
    <x v="1"/>
    <s v="Mobile Web"/>
    <x v="2"/>
    <x v="0"/>
    <n v="4"/>
    <n v="1116"/>
    <n v="4464"/>
    <n v="5"/>
    <n v="223"/>
    <n v="4241"/>
    <n v="2074"/>
    <n v="2167"/>
    <n v="1"/>
    <n v="1060"/>
    <n v="3.6"/>
  </r>
  <r>
    <s v="ORD00445"/>
    <x v="3"/>
    <x v="77"/>
    <s v="AJIO New Year Blowout"/>
    <x v="6"/>
    <x v="5"/>
    <x v="0"/>
    <s v="App"/>
    <x v="3"/>
    <x v="0"/>
    <n v="3"/>
    <n v="4312"/>
    <n v="12936"/>
    <n v="20"/>
    <n v="2587"/>
    <n v="10349"/>
    <n v="5514"/>
    <n v="4835"/>
    <n v="0"/>
    <n v="0"/>
    <n v="2.6"/>
  </r>
  <r>
    <s v="ORD00451"/>
    <x v="3"/>
    <x v="77"/>
    <s v="AJIO End of Season"/>
    <x v="5"/>
    <x v="8"/>
    <x v="4"/>
    <s v="Website"/>
    <x v="2"/>
    <x v="1"/>
    <n v="6"/>
    <n v="2933"/>
    <n v="17598"/>
    <n v="15"/>
    <n v="2640"/>
    <n v="14958"/>
    <n v="6773"/>
    <n v="8185"/>
    <n v="0"/>
    <n v="0"/>
    <n v="4.2"/>
  </r>
  <r>
    <s v="ORD00226"/>
    <x v="3"/>
    <x v="78"/>
    <s v="AJIO Big Bold Sale"/>
    <x v="1"/>
    <x v="4"/>
    <x v="1"/>
    <s v="Website"/>
    <x v="3"/>
    <x v="2"/>
    <n v="10"/>
    <n v="913"/>
    <n v="9130"/>
    <n v="40"/>
    <n v="3652"/>
    <n v="5478"/>
    <n v="3545"/>
    <n v="1933"/>
    <n v="2"/>
    <n v="1096"/>
    <n v="4.4000000000000004"/>
  </r>
  <r>
    <s v="ORD00277"/>
    <x v="3"/>
    <x v="78"/>
    <s v="AJIO Fashion Fiesta"/>
    <x v="5"/>
    <x v="3"/>
    <x v="0"/>
    <s v="App"/>
    <x v="0"/>
    <x v="0"/>
    <n v="11"/>
    <n v="2345"/>
    <n v="25795"/>
    <n v="10"/>
    <n v="2580"/>
    <n v="23215"/>
    <n v="15288"/>
    <n v="7927"/>
    <n v="1"/>
    <n v="2110"/>
    <n v="3.3"/>
  </r>
  <r>
    <s v="ORD00160"/>
    <x v="3"/>
    <x v="79"/>
    <s v="AJIO Big Bold Sale"/>
    <x v="2"/>
    <x v="2"/>
    <x v="1"/>
    <s v="Mobile Web"/>
    <x v="3"/>
    <x v="0"/>
    <n v="2"/>
    <n v="3193"/>
    <n v="6386"/>
    <n v="15"/>
    <n v="958"/>
    <n v="5428"/>
    <n v="2772"/>
    <n v="2656"/>
    <n v="0"/>
    <n v="0"/>
    <n v="4.0999999999999996"/>
  </r>
  <r>
    <s v="ORD00287"/>
    <x v="3"/>
    <x v="79"/>
    <s v="AJIO Luxury Week"/>
    <x v="5"/>
    <x v="3"/>
    <x v="0"/>
    <s v="Mobile Web"/>
    <x v="4"/>
    <x v="1"/>
    <n v="11"/>
    <n v="2224"/>
    <n v="24464"/>
    <n v="0"/>
    <n v="0"/>
    <n v="24464"/>
    <n v="16297"/>
    <n v="8167"/>
    <n v="2"/>
    <n v="4448"/>
    <n v="2.5"/>
  </r>
  <r>
    <s v="ORD00097"/>
    <x v="3"/>
    <x v="80"/>
    <s v="AJIO Festive Rush"/>
    <x v="1"/>
    <x v="7"/>
    <x v="0"/>
    <s v="Website"/>
    <x v="3"/>
    <x v="1"/>
    <n v="7"/>
    <n v="2254"/>
    <n v="15778"/>
    <n v="5"/>
    <n v="789"/>
    <n v="14989"/>
    <n v="7916"/>
    <n v="7073"/>
    <n v="1"/>
    <n v="2141"/>
    <n v="4.2"/>
  </r>
  <r>
    <s v="ORD00102"/>
    <x v="3"/>
    <x v="80"/>
    <s v="AJIO Mega Brand Sale"/>
    <x v="1"/>
    <x v="6"/>
    <x v="4"/>
    <s v="Website"/>
    <x v="4"/>
    <x v="1"/>
    <n v="5"/>
    <n v="3691"/>
    <n v="18455"/>
    <n v="5"/>
    <n v="923"/>
    <n v="17532"/>
    <n v="11761"/>
    <n v="5771"/>
    <n v="0"/>
    <n v="0"/>
    <n v="2.9"/>
  </r>
  <r>
    <s v="ORD00002"/>
    <x v="3"/>
    <x v="81"/>
    <s v="AJIO Big Bold Sale"/>
    <x v="2"/>
    <x v="2"/>
    <x v="3"/>
    <s v="App"/>
    <x v="1"/>
    <x v="0"/>
    <n v="12"/>
    <n v="3353"/>
    <n v="40236"/>
    <n v="50"/>
    <n v="20118"/>
    <n v="20118"/>
    <n v="11163"/>
    <n v="8955"/>
    <n v="3"/>
    <n v="5030"/>
    <n v="4"/>
  </r>
  <r>
    <s v="ORD00350"/>
    <x v="3"/>
    <x v="82"/>
    <s v="AJIO Summer Splash"/>
    <x v="5"/>
    <x v="7"/>
    <x v="0"/>
    <s v="App"/>
    <x v="3"/>
    <x v="1"/>
    <n v="4"/>
    <n v="500"/>
    <n v="2000"/>
    <n v="15"/>
    <n v="300"/>
    <n v="1700"/>
    <n v="985"/>
    <n v="715"/>
    <n v="1"/>
    <n v="425"/>
    <n v="3.5"/>
  </r>
  <r>
    <s v="ORD00435"/>
    <x v="3"/>
    <x v="83"/>
    <s v="AJIO Big Bold Sale"/>
    <x v="4"/>
    <x v="3"/>
    <x v="0"/>
    <s v="App"/>
    <x v="4"/>
    <x v="1"/>
    <n v="14"/>
    <n v="3199"/>
    <n v="44786"/>
    <n v="25"/>
    <n v="11196"/>
    <n v="33590"/>
    <n v="22394"/>
    <n v="11196"/>
    <n v="1"/>
    <n v="2399"/>
    <n v="3.6"/>
  </r>
  <r>
    <s v="ORD00100"/>
    <x v="3"/>
    <x v="84"/>
    <s v="AJIO End of Season"/>
    <x v="5"/>
    <x v="1"/>
    <x v="1"/>
    <s v="Mobile Web"/>
    <x v="3"/>
    <x v="0"/>
    <n v="13"/>
    <n v="1608"/>
    <n v="20904"/>
    <n v="15"/>
    <n v="3136"/>
    <n v="17768"/>
    <n v="11581"/>
    <n v="6187"/>
    <n v="0"/>
    <n v="0"/>
    <n v="4"/>
  </r>
  <r>
    <s v="ORD00327"/>
    <x v="3"/>
    <x v="84"/>
    <s v="AJIO Festive Rush"/>
    <x v="4"/>
    <x v="2"/>
    <x v="4"/>
    <s v="App"/>
    <x v="1"/>
    <x v="2"/>
    <n v="5"/>
    <n v="3556"/>
    <n v="17780"/>
    <n v="0"/>
    <n v="0"/>
    <n v="17780"/>
    <n v="12119"/>
    <n v="5661"/>
    <n v="1"/>
    <n v="3556"/>
    <n v="3.5"/>
  </r>
  <r>
    <s v="ORD00064"/>
    <x v="3"/>
    <x v="85"/>
    <s v="AJIO New Year Blowout"/>
    <x v="4"/>
    <x v="5"/>
    <x v="1"/>
    <s v="App"/>
    <x v="2"/>
    <x v="0"/>
    <n v="3"/>
    <n v="4024"/>
    <n v="12072"/>
    <n v="20"/>
    <n v="2414"/>
    <n v="9658"/>
    <n v="5406"/>
    <n v="4252"/>
    <n v="1"/>
    <n v="3219"/>
    <n v="4.2"/>
  </r>
  <r>
    <s v="ORD00058"/>
    <x v="3"/>
    <x v="86"/>
    <s v="AJIO Summer Splash"/>
    <x v="3"/>
    <x v="5"/>
    <x v="1"/>
    <s v="App"/>
    <x v="1"/>
    <x v="0"/>
    <n v="5"/>
    <n v="513"/>
    <n v="2565"/>
    <n v="0"/>
    <n v="0"/>
    <n v="2565"/>
    <n v="1509"/>
    <n v="1056"/>
    <n v="0"/>
    <n v="0"/>
    <n v="4.0999999999999996"/>
  </r>
  <r>
    <s v="ORD00007"/>
    <x v="3"/>
    <x v="87"/>
    <s v="AJIO Summer Splash"/>
    <x v="5"/>
    <x v="9"/>
    <x v="1"/>
    <s v="Website"/>
    <x v="3"/>
    <x v="0"/>
    <n v="4"/>
    <n v="4591"/>
    <n v="18364"/>
    <n v="25"/>
    <n v="4591"/>
    <n v="13773"/>
    <n v="6930"/>
    <n v="6843"/>
    <n v="1"/>
    <n v="3443"/>
    <n v="3.5"/>
  </r>
  <r>
    <s v="ORD00083"/>
    <x v="3"/>
    <x v="87"/>
    <s v="AJIO Summer Splash"/>
    <x v="0"/>
    <x v="0"/>
    <x v="0"/>
    <s v="Mobile Web"/>
    <x v="4"/>
    <x v="2"/>
    <n v="5"/>
    <n v="3484"/>
    <n v="17420"/>
    <n v="10"/>
    <n v="1742"/>
    <n v="15678"/>
    <n v="9518"/>
    <n v="6160"/>
    <n v="0"/>
    <n v="0"/>
    <n v="3.3"/>
  </r>
  <r>
    <s v="ORD00195"/>
    <x v="3"/>
    <x v="88"/>
    <s v="AJIO Summer Splash"/>
    <x v="5"/>
    <x v="1"/>
    <x v="1"/>
    <s v="Mobile Web"/>
    <x v="1"/>
    <x v="2"/>
    <n v="7"/>
    <n v="4853"/>
    <n v="33971"/>
    <n v="25"/>
    <n v="8493"/>
    <n v="25478"/>
    <n v="11654"/>
    <n v="13824"/>
    <n v="1"/>
    <n v="3640"/>
    <n v="4.5"/>
  </r>
  <r>
    <s v="ORD00433"/>
    <x v="3"/>
    <x v="88"/>
    <s v="AJIO Festive Rush"/>
    <x v="0"/>
    <x v="3"/>
    <x v="0"/>
    <s v="Mobile Web"/>
    <x v="2"/>
    <x v="1"/>
    <n v="2"/>
    <n v="3533"/>
    <n v="7066"/>
    <n v="40"/>
    <n v="2826"/>
    <n v="4240"/>
    <n v="2050"/>
    <n v="2190"/>
    <n v="1"/>
    <n v="2120"/>
    <n v="4.3"/>
  </r>
  <r>
    <s v="ORD00090"/>
    <x v="4"/>
    <x v="89"/>
    <s v="AJIO Fashion Fiesta"/>
    <x v="5"/>
    <x v="0"/>
    <x v="2"/>
    <s v="Mobile Web"/>
    <x v="3"/>
    <x v="2"/>
    <n v="15"/>
    <n v="4895"/>
    <n v="73425"/>
    <n v="25"/>
    <n v="18356"/>
    <n v="55069"/>
    <n v="25615"/>
    <n v="29454"/>
    <n v="2"/>
    <n v="7342"/>
    <n v="3"/>
  </r>
  <r>
    <s v="ORD00109"/>
    <x v="4"/>
    <x v="89"/>
    <s v="AJIO Mega Brand Sale"/>
    <x v="6"/>
    <x v="5"/>
    <x v="1"/>
    <s v="App"/>
    <x v="4"/>
    <x v="2"/>
    <n v="3"/>
    <n v="3872"/>
    <n v="11616"/>
    <n v="5"/>
    <n v="581"/>
    <n v="11035"/>
    <n v="5454"/>
    <n v="5581"/>
    <n v="1"/>
    <n v="3678"/>
    <n v="3.7"/>
  </r>
  <r>
    <s v="ORD00374"/>
    <x v="4"/>
    <x v="89"/>
    <s v="AJIO Fashion Fiesta"/>
    <x v="4"/>
    <x v="3"/>
    <x v="1"/>
    <s v="App"/>
    <x v="4"/>
    <x v="0"/>
    <n v="14"/>
    <n v="1473"/>
    <n v="20622"/>
    <n v="25"/>
    <n v="5156"/>
    <n v="15466"/>
    <n v="7563"/>
    <n v="7903"/>
    <n v="0"/>
    <n v="0"/>
    <n v="2.8"/>
  </r>
  <r>
    <s v="ORD00428"/>
    <x v="4"/>
    <x v="89"/>
    <s v="AJIO Festive Rush"/>
    <x v="0"/>
    <x v="4"/>
    <x v="2"/>
    <s v="Mobile Web"/>
    <x v="3"/>
    <x v="1"/>
    <n v="15"/>
    <n v="4999"/>
    <n v="74985"/>
    <n v="0"/>
    <n v="0"/>
    <n v="74985"/>
    <n v="51442"/>
    <n v="23543"/>
    <n v="2"/>
    <n v="9998"/>
    <n v="3.1"/>
  </r>
  <r>
    <s v="ORD00030"/>
    <x v="4"/>
    <x v="90"/>
    <s v="AJIO Fashion Fiesta"/>
    <x v="5"/>
    <x v="5"/>
    <x v="0"/>
    <s v="Website"/>
    <x v="2"/>
    <x v="0"/>
    <n v="12"/>
    <n v="4644"/>
    <n v="55728"/>
    <n v="30"/>
    <n v="16718"/>
    <n v="39010"/>
    <n v="25378"/>
    <n v="13632"/>
    <n v="1"/>
    <n v="3251"/>
    <n v="3.2"/>
  </r>
  <r>
    <s v="ORD00093"/>
    <x v="4"/>
    <x v="90"/>
    <s v="AJIO Festive Rush"/>
    <x v="0"/>
    <x v="0"/>
    <x v="2"/>
    <s v="App"/>
    <x v="3"/>
    <x v="0"/>
    <n v="3"/>
    <n v="3785"/>
    <n v="11355"/>
    <n v="50"/>
    <n v="5678"/>
    <n v="5677"/>
    <n v="2716"/>
    <n v="2961"/>
    <n v="0"/>
    <n v="0"/>
    <n v="3.7"/>
  </r>
  <r>
    <s v="ORD00249"/>
    <x v="4"/>
    <x v="90"/>
    <s v="AJIO Mega Brand Sale"/>
    <x v="3"/>
    <x v="4"/>
    <x v="1"/>
    <s v="Website"/>
    <x v="3"/>
    <x v="1"/>
    <n v="8"/>
    <n v="1577"/>
    <n v="12616"/>
    <n v="5"/>
    <n v="631"/>
    <n v="11985"/>
    <n v="8220"/>
    <n v="3765"/>
    <n v="0"/>
    <n v="0"/>
    <n v="4.4000000000000004"/>
  </r>
  <r>
    <s v="ORD00444"/>
    <x v="4"/>
    <x v="90"/>
    <s v="AJIO Back to Campus"/>
    <x v="2"/>
    <x v="8"/>
    <x v="4"/>
    <s v="Website"/>
    <x v="0"/>
    <x v="1"/>
    <n v="2"/>
    <n v="3125"/>
    <n v="6250"/>
    <n v="0"/>
    <n v="0"/>
    <n v="6250"/>
    <n v="3195"/>
    <n v="3055"/>
    <n v="1"/>
    <n v="3125"/>
    <n v="4"/>
  </r>
  <r>
    <s v="ORD00291"/>
    <x v="4"/>
    <x v="91"/>
    <s v="AJIO New Year Blowout"/>
    <x v="6"/>
    <x v="8"/>
    <x v="4"/>
    <s v="Mobile Web"/>
    <x v="3"/>
    <x v="2"/>
    <n v="3"/>
    <n v="3689"/>
    <n v="11067"/>
    <n v="40"/>
    <n v="4427"/>
    <n v="6640"/>
    <n v="4644"/>
    <n v="1996"/>
    <n v="1"/>
    <n v="2213"/>
    <n v="4.8"/>
  </r>
  <r>
    <s v="ORD00183"/>
    <x v="4"/>
    <x v="92"/>
    <s v="AJIO Festive Rush"/>
    <x v="4"/>
    <x v="8"/>
    <x v="0"/>
    <s v="Website"/>
    <x v="4"/>
    <x v="2"/>
    <n v="6"/>
    <n v="3944"/>
    <n v="23664"/>
    <n v="30"/>
    <n v="7099"/>
    <n v="16565"/>
    <n v="9385"/>
    <n v="7180"/>
    <n v="1"/>
    <n v="2761"/>
    <n v="3.3"/>
  </r>
  <r>
    <s v="ORD00355"/>
    <x v="4"/>
    <x v="92"/>
    <s v="AJIO Back to Campus"/>
    <x v="6"/>
    <x v="5"/>
    <x v="3"/>
    <s v="Mobile Web"/>
    <x v="4"/>
    <x v="0"/>
    <n v="11"/>
    <n v="2708"/>
    <n v="29788"/>
    <n v="10"/>
    <n v="2979"/>
    <n v="26809"/>
    <n v="12439"/>
    <n v="14370"/>
    <n v="1"/>
    <n v="2437"/>
    <n v="4.8"/>
  </r>
  <r>
    <s v="ORD00233"/>
    <x v="4"/>
    <x v="93"/>
    <s v="AJIO Mega Brand Sale"/>
    <x v="3"/>
    <x v="1"/>
    <x v="0"/>
    <s v="Mobile Web"/>
    <x v="1"/>
    <x v="2"/>
    <n v="12"/>
    <n v="3155"/>
    <n v="37860"/>
    <n v="0"/>
    <n v="0"/>
    <n v="37860"/>
    <n v="25062"/>
    <n v="12798"/>
    <n v="2"/>
    <n v="6310"/>
    <n v="3"/>
  </r>
  <r>
    <s v="ORD00018"/>
    <x v="4"/>
    <x v="94"/>
    <s v="AJIO Back to Campus"/>
    <x v="2"/>
    <x v="3"/>
    <x v="3"/>
    <s v="Website"/>
    <x v="4"/>
    <x v="1"/>
    <n v="3"/>
    <n v="1608"/>
    <n v="4824"/>
    <n v="15"/>
    <n v="724"/>
    <n v="4100"/>
    <n v="2741"/>
    <n v="1359"/>
    <n v="0"/>
    <n v="0"/>
    <n v="3.6"/>
  </r>
  <r>
    <s v="ORD00253"/>
    <x v="4"/>
    <x v="94"/>
    <s v="AJIO Fashion Fiesta"/>
    <x v="6"/>
    <x v="7"/>
    <x v="2"/>
    <s v="App"/>
    <x v="2"/>
    <x v="0"/>
    <n v="1"/>
    <n v="4202"/>
    <n v="4202"/>
    <n v="15"/>
    <n v="630"/>
    <n v="3572"/>
    <n v="1724"/>
    <n v="1848"/>
    <n v="1"/>
    <n v="3572"/>
    <n v="3.4"/>
  </r>
  <r>
    <s v="ORD00400"/>
    <x v="4"/>
    <x v="94"/>
    <s v="AJIO Fashion Fiesta"/>
    <x v="2"/>
    <x v="7"/>
    <x v="2"/>
    <s v="Mobile Web"/>
    <x v="1"/>
    <x v="1"/>
    <n v="15"/>
    <n v="4856"/>
    <n v="72840"/>
    <n v="0"/>
    <n v="0"/>
    <n v="72840"/>
    <n v="33867"/>
    <n v="38973"/>
    <n v="1"/>
    <n v="4856"/>
    <n v="4.3"/>
  </r>
  <r>
    <s v="ORD00371"/>
    <x v="4"/>
    <x v="95"/>
    <s v="AJIO End of Season"/>
    <x v="4"/>
    <x v="7"/>
    <x v="4"/>
    <s v="Mobile Web"/>
    <x v="0"/>
    <x v="0"/>
    <n v="13"/>
    <n v="1895"/>
    <n v="24635"/>
    <n v="40"/>
    <n v="9854"/>
    <n v="14781"/>
    <n v="9170"/>
    <n v="5611"/>
    <n v="0"/>
    <n v="0"/>
    <n v="3.7"/>
  </r>
  <r>
    <s v="ORD00381"/>
    <x v="4"/>
    <x v="95"/>
    <s v="AJIO Festive Rush"/>
    <x v="0"/>
    <x v="8"/>
    <x v="2"/>
    <s v="Website"/>
    <x v="2"/>
    <x v="2"/>
    <n v="3"/>
    <n v="581"/>
    <n v="1743"/>
    <n v="20"/>
    <n v="349"/>
    <n v="1394"/>
    <n v="793"/>
    <n v="601"/>
    <n v="0"/>
    <n v="0"/>
    <n v="3.6"/>
  </r>
  <r>
    <s v="ORD00289"/>
    <x v="4"/>
    <x v="96"/>
    <s v="AJIO Mega Brand Sale"/>
    <x v="2"/>
    <x v="7"/>
    <x v="1"/>
    <s v="Mobile Web"/>
    <x v="1"/>
    <x v="2"/>
    <n v="7"/>
    <n v="3046"/>
    <n v="21322"/>
    <n v="0"/>
    <n v="0"/>
    <n v="21322"/>
    <n v="12322"/>
    <n v="9000"/>
    <n v="1"/>
    <n v="3046"/>
    <n v="3.9"/>
  </r>
  <r>
    <s v="ORD00105"/>
    <x v="4"/>
    <x v="97"/>
    <s v="AJIO Festive Rush"/>
    <x v="3"/>
    <x v="0"/>
    <x v="2"/>
    <s v="App"/>
    <x v="0"/>
    <x v="2"/>
    <n v="7"/>
    <n v="1125"/>
    <n v="7875"/>
    <n v="30"/>
    <n v="2362"/>
    <n v="5513"/>
    <n v="3215"/>
    <n v="2298"/>
    <n v="0"/>
    <n v="0"/>
    <n v="3.8"/>
  </r>
  <r>
    <s v="ORD00124"/>
    <x v="4"/>
    <x v="98"/>
    <s v="AJIO New Year Blowout"/>
    <x v="2"/>
    <x v="5"/>
    <x v="3"/>
    <s v="Mobile Web"/>
    <x v="1"/>
    <x v="2"/>
    <n v="7"/>
    <n v="822"/>
    <n v="5754"/>
    <n v="20"/>
    <n v="1151"/>
    <n v="4603"/>
    <n v="2345"/>
    <n v="2258"/>
    <n v="0"/>
    <n v="0"/>
    <n v="2.6"/>
  </r>
  <r>
    <s v="ORD00186"/>
    <x v="4"/>
    <x v="98"/>
    <s v="AJIO Back to Campus"/>
    <x v="5"/>
    <x v="7"/>
    <x v="4"/>
    <s v="Website"/>
    <x v="4"/>
    <x v="2"/>
    <n v="13"/>
    <n v="1954"/>
    <n v="25402"/>
    <n v="10"/>
    <n v="2540"/>
    <n v="22862"/>
    <n v="14405"/>
    <n v="8457"/>
    <n v="3"/>
    <n v="5276"/>
    <n v="3"/>
  </r>
  <r>
    <s v="ORD00491"/>
    <x v="4"/>
    <x v="98"/>
    <s v="AJIO Fashion Fiesta"/>
    <x v="2"/>
    <x v="1"/>
    <x v="1"/>
    <s v="App"/>
    <x v="0"/>
    <x v="1"/>
    <n v="6"/>
    <n v="4980"/>
    <n v="29880"/>
    <n v="20"/>
    <n v="5976"/>
    <n v="23904"/>
    <n v="16467"/>
    <n v="7437"/>
    <n v="1"/>
    <n v="3984"/>
    <n v="2.9"/>
  </r>
  <r>
    <s v="ORD00054"/>
    <x v="4"/>
    <x v="99"/>
    <s v="AJIO Sports Carnival"/>
    <x v="3"/>
    <x v="4"/>
    <x v="3"/>
    <s v="Mobile Web"/>
    <x v="3"/>
    <x v="2"/>
    <n v="1"/>
    <n v="2727"/>
    <n v="2727"/>
    <n v="15"/>
    <n v="409"/>
    <n v="2318"/>
    <n v="1093"/>
    <n v="1225"/>
    <n v="1"/>
    <n v="2318"/>
    <n v="3.7"/>
  </r>
  <r>
    <s v="ORD00465"/>
    <x v="4"/>
    <x v="99"/>
    <s v="AJIO Luxury Week"/>
    <x v="3"/>
    <x v="6"/>
    <x v="0"/>
    <s v="Mobile Web"/>
    <x v="3"/>
    <x v="1"/>
    <n v="8"/>
    <n v="2590"/>
    <n v="20720"/>
    <n v="5"/>
    <n v="1036"/>
    <n v="19684"/>
    <n v="11197"/>
    <n v="8487"/>
    <n v="1"/>
    <n v="2460"/>
    <n v="3.7"/>
  </r>
  <r>
    <s v="ORD00185"/>
    <x v="4"/>
    <x v="100"/>
    <s v="AJIO Festive Rush"/>
    <x v="0"/>
    <x v="8"/>
    <x v="3"/>
    <s v="Mobile Web"/>
    <x v="0"/>
    <x v="1"/>
    <n v="3"/>
    <n v="1221"/>
    <n v="3663"/>
    <n v="15"/>
    <n v="549"/>
    <n v="3114"/>
    <n v="1697"/>
    <n v="1417"/>
    <n v="0"/>
    <n v="0"/>
    <n v="3.7"/>
  </r>
  <r>
    <s v="ORD00382"/>
    <x v="4"/>
    <x v="100"/>
    <s v="AJIO Back to Campus"/>
    <x v="3"/>
    <x v="0"/>
    <x v="3"/>
    <s v="Mobile Web"/>
    <x v="3"/>
    <x v="1"/>
    <n v="1"/>
    <n v="2234"/>
    <n v="2234"/>
    <n v="25"/>
    <n v="558"/>
    <n v="1676"/>
    <n v="1118"/>
    <n v="558"/>
    <n v="0"/>
    <n v="0"/>
    <n v="3.9"/>
  </r>
  <r>
    <s v="ORD00004"/>
    <x v="4"/>
    <x v="101"/>
    <s v="AJIO Sports Carnival"/>
    <x v="5"/>
    <x v="9"/>
    <x v="4"/>
    <s v="Mobile Web"/>
    <x v="2"/>
    <x v="1"/>
    <n v="2"/>
    <n v="2894"/>
    <n v="5788"/>
    <n v="25"/>
    <n v="1447"/>
    <n v="4341"/>
    <n v="2580"/>
    <n v="1761"/>
    <n v="0"/>
    <n v="0"/>
    <n v="2.6"/>
  </r>
  <r>
    <s v="ORD00026"/>
    <x v="4"/>
    <x v="101"/>
    <s v="AJIO Back to Campus"/>
    <x v="6"/>
    <x v="1"/>
    <x v="3"/>
    <s v="App"/>
    <x v="3"/>
    <x v="1"/>
    <n v="10"/>
    <n v="1289"/>
    <n v="12890"/>
    <n v="25"/>
    <n v="3222"/>
    <n v="9668"/>
    <n v="4843"/>
    <n v="4825"/>
    <n v="2"/>
    <n v="1934"/>
    <n v="4.5999999999999996"/>
  </r>
  <r>
    <s v="ORD00251"/>
    <x v="4"/>
    <x v="101"/>
    <s v="AJIO Sports Carnival"/>
    <x v="5"/>
    <x v="1"/>
    <x v="2"/>
    <s v="App"/>
    <x v="3"/>
    <x v="2"/>
    <n v="12"/>
    <n v="3135"/>
    <n v="37620"/>
    <n v="15"/>
    <n v="5643"/>
    <n v="31977"/>
    <n v="21072"/>
    <n v="10905"/>
    <n v="2"/>
    <n v="5330"/>
    <n v="2.9"/>
  </r>
  <r>
    <s v="ORD00494"/>
    <x v="4"/>
    <x v="102"/>
    <s v="AJIO Fashion Fiesta"/>
    <x v="2"/>
    <x v="0"/>
    <x v="4"/>
    <s v="Mobile Web"/>
    <x v="2"/>
    <x v="2"/>
    <n v="12"/>
    <n v="4717"/>
    <n v="56604"/>
    <n v="40"/>
    <n v="22642"/>
    <n v="33962"/>
    <n v="19343"/>
    <n v="14619"/>
    <n v="3"/>
    <n v="8491"/>
    <n v="4.5999999999999996"/>
  </r>
  <r>
    <s v="ORD00393"/>
    <x v="4"/>
    <x v="103"/>
    <s v="AJIO Big Bold Sale"/>
    <x v="1"/>
    <x v="3"/>
    <x v="2"/>
    <s v="App"/>
    <x v="4"/>
    <x v="1"/>
    <n v="2"/>
    <n v="3292"/>
    <n v="6584"/>
    <n v="40"/>
    <n v="2634"/>
    <n v="3950"/>
    <n v="2046"/>
    <n v="1904"/>
    <n v="1"/>
    <n v="1975"/>
    <n v="3"/>
  </r>
  <r>
    <s v="ORD00065"/>
    <x v="4"/>
    <x v="104"/>
    <s v="AJIO Mega Brand Sale"/>
    <x v="0"/>
    <x v="2"/>
    <x v="4"/>
    <s v="Website"/>
    <x v="2"/>
    <x v="2"/>
    <n v="1"/>
    <n v="4479"/>
    <n v="4479"/>
    <n v="25"/>
    <n v="1120"/>
    <n v="3359"/>
    <n v="2019"/>
    <n v="1340"/>
    <n v="0"/>
    <n v="0"/>
    <n v="2.7"/>
  </r>
  <r>
    <s v="ORD00389"/>
    <x v="4"/>
    <x v="104"/>
    <s v="AJIO Festive Rush"/>
    <x v="0"/>
    <x v="7"/>
    <x v="0"/>
    <s v="Mobile Web"/>
    <x v="1"/>
    <x v="0"/>
    <n v="10"/>
    <n v="3108"/>
    <n v="31080"/>
    <n v="30"/>
    <n v="9324"/>
    <n v="21756"/>
    <n v="12637"/>
    <n v="9119"/>
    <n v="2"/>
    <n v="4351"/>
    <n v="3.8"/>
  </r>
  <r>
    <s v="ORD00189"/>
    <x v="4"/>
    <x v="105"/>
    <s v="AJIO End of Season"/>
    <x v="0"/>
    <x v="4"/>
    <x v="2"/>
    <s v="Mobile Web"/>
    <x v="0"/>
    <x v="0"/>
    <n v="2"/>
    <n v="4614"/>
    <n v="9228"/>
    <n v="50"/>
    <n v="4614"/>
    <n v="4614"/>
    <n v="2248"/>
    <n v="2366"/>
    <n v="0"/>
    <n v="0"/>
    <n v="4"/>
  </r>
  <r>
    <s v="ORD00345"/>
    <x v="4"/>
    <x v="106"/>
    <s v="AJIO Mega Brand Sale"/>
    <x v="5"/>
    <x v="0"/>
    <x v="0"/>
    <s v="Mobile Web"/>
    <x v="3"/>
    <x v="1"/>
    <n v="8"/>
    <n v="2392"/>
    <n v="19136"/>
    <n v="20"/>
    <n v="3827"/>
    <n v="15309"/>
    <n v="8753"/>
    <n v="6556"/>
    <n v="0"/>
    <n v="0"/>
    <n v="2.9"/>
  </r>
  <r>
    <s v="ORD00363"/>
    <x v="4"/>
    <x v="106"/>
    <s v="AJIO Mega Brand Sale"/>
    <x v="4"/>
    <x v="6"/>
    <x v="0"/>
    <s v="Website"/>
    <x v="1"/>
    <x v="2"/>
    <n v="8"/>
    <n v="1139"/>
    <n v="9112"/>
    <n v="50"/>
    <n v="4556"/>
    <n v="4556"/>
    <n v="2682"/>
    <n v="1874"/>
    <n v="1"/>
    <n v="570"/>
    <n v="5"/>
  </r>
  <r>
    <s v="ORD00016"/>
    <x v="4"/>
    <x v="107"/>
    <s v="AJIO Sports Carnival"/>
    <x v="4"/>
    <x v="7"/>
    <x v="0"/>
    <s v="Mobile Web"/>
    <x v="4"/>
    <x v="2"/>
    <n v="15"/>
    <n v="4446"/>
    <n v="66690"/>
    <n v="40"/>
    <n v="26676"/>
    <n v="40014"/>
    <n v="20437"/>
    <n v="19577"/>
    <n v="3"/>
    <n v="8003"/>
    <n v="4.5"/>
  </r>
  <r>
    <s v="ORD00053"/>
    <x v="4"/>
    <x v="107"/>
    <s v="AJIO Festive Rush"/>
    <x v="1"/>
    <x v="3"/>
    <x v="4"/>
    <s v="Mobile Web"/>
    <x v="1"/>
    <x v="2"/>
    <n v="7"/>
    <n v="1880"/>
    <n v="13160"/>
    <n v="40"/>
    <n v="5264"/>
    <n v="7896"/>
    <n v="5233"/>
    <n v="2663"/>
    <n v="0"/>
    <n v="0"/>
    <n v="3.7"/>
  </r>
  <r>
    <s v="ORD00256"/>
    <x v="4"/>
    <x v="108"/>
    <s v="AJIO End of Season"/>
    <x v="1"/>
    <x v="5"/>
    <x v="2"/>
    <s v="Mobile Web"/>
    <x v="1"/>
    <x v="2"/>
    <n v="4"/>
    <n v="3341"/>
    <n v="13364"/>
    <n v="40"/>
    <n v="5346"/>
    <n v="8018"/>
    <n v="4434"/>
    <n v="3584"/>
    <n v="1"/>
    <n v="2005"/>
    <n v="2.7"/>
  </r>
  <r>
    <s v="ORD00376"/>
    <x v="4"/>
    <x v="108"/>
    <s v="AJIO Luxury Week"/>
    <x v="1"/>
    <x v="3"/>
    <x v="3"/>
    <s v="App"/>
    <x v="2"/>
    <x v="2"/>
    <n v="13"/>
    <n v="2288"/>
    <n v="29744"/>
    <n v="50"/>
    <n v="14872"/>
    <n v="14872"/>
    <n v="6813"/>
    <n v="8059"/>
    <n v="2"/>
    <n v="2288"/>
    <n v="3.5"/>
  </r>
  <r>
    <s v="ORD00379"/>
    <x v="4"/>
    <x v="108"/>
    <s v="AJIO Sports Carnival"/>
    <x v="1"/>
    <x v="5"/>
    <x v="3"/>
    <s v="App"/>
    <x v="1"/>
    <x v="2"/>
    <n v="4"/>
    <n v="4126"/>
    <n v="16504"/>
    <n v="20"/>
    <n v="3301"/>
    <n v="13203"/>
    <n v="8595"/>
    <n v="4608"/>
    <n v="1"/>
    <n v="3301"/>
    <n v="4.5999999999999996"/>
  </r>
  <r>
    <s v="ORD00455"/>
    <x v="4"/>
    <x v="108"/>
    <s v="AJIO Festive Rush"/>
    <x v="5"/>
    <x v="9"/>
    <x v="1"/>
    <s v="Website"/>
    <x v="1"/>
    <x v="0"/>
    <n v="10"/>
    <n v="3146"/>
    <n v="31460"/>
    <n v="10"/>
    <n v="3146"/>
    <n v="28314"/>
    <n v="16954"/>
    <n v="11360"/>
    <n v="1"/>
    <n v="2831"/>
    <n v="4.3"/>
  </r>
  <r>
    <s v="ORD00478"/>
    <x v="4"/>
    <x v="108"/>
    <s v="AJIO Festive Rush"/>
    <x v="1"/>
    <x v="2"/>
    <x v="2"/>
    <s v="Mobile Web"/>
    <x v="1"/>
    <x v="0"/>
    <n v="4"/>
    <n v="2520"/>
    <n v="10080"/>
    <n v="5"/>
    <n v="504"/>
    <n v="9576"/>
    <n v="5947"/>
    <n v="3629"/>
    <n v="1"/>
    <n v="2394"/>
    <n v="4"/>
  </r>
  <r>
    <s v="ORD00466"/>
    <x v="4"/>
    <x v="109"/>
    <s v="AJIO Back to Campus"/>
    <x v="5"/>
    <x v="0"/>
    <x v="3"/>
    <s v="Mobile Web"/>
    <x v="4"/>
    <x v="2"/>
    <n v="2"/>
    <n v="2206"/>
    <n v="4412"/>
    <n v="5"/>
    <n v="221"/>
    <n v="4191"/>
    <n v="2227"/>
    <n v="1964"/>
    <n v="0"/>
    <n v="0"/>
    <n v="4.5"/>
  </r>
  <r>
    <s v="ORD00425"/>
    <x v="4"/>
    <x v="110"/>
    <s v="AJIO Big Bold Sale"/>
    <x v="2"/>
    <x v="8"/>
    <x v="1"/>
    <s v="App"/>
    <x v="0"/>
    <x v="2"/>
    <n v="1"/>
    <n v="612"/>
    <n v="612"/>
    <n v="20"/>
    <n v="122"/>
    <n v="490"/>
    <n v="302"/>
    <n v="188"/>
    <n v="1"/>
    <n v="490"/>
    <n v="4.7"/>
  </r>
  <r>
    <s v="ORD00149"/>
    <x v="4"/>
    <x v="111"/>
    <s v="AJIO Back to Campus"/>
    <x v="0"/>
    <x v="9"/>
    <x v="2"/>
    <s v="Website"/>
    <x v="4"/>
    <x v="1"/>
    <n v="12"/>
    <n v="2018"/>
    <n v="24216"/>
    <n v="30"/>
    <n v="7265"/>
    <n v="16951"/>
    <n v="9179"/>
    <n v="7772"/>
    <n v="3"/>
    <n v="4238"/>
    <n v="2.6"/>
  </r>
  <r>
    <s v="ORD00070"/>
    <x v="4"/>
    <x v="112"/>
    <s v="AJIO Fashion Fiesta"/>
    <x v="1"/>
    <x v="7"/>
    <x v="2"/>
    <s v="App"/>
    <x v="1"/>
    <x v="0"/>
    <n v="12"/>
    <n v="1043"/>
    <n v="12516"/>
    <n v="50"/>
    <n v="6258"/>
    <n v="6258"/>
    <n v="2837"/>
    <n v="3421"/>
    <n v="3"/>
    <n v="1564"/>
    <n v="2.7"/>
  </r>
  <r>
    <s v="ORD00162"/>
    <x v="4"/>
    <x v="112"/>
    <s v="AJIO Luxury Week"/>
    <x v="3"/>
    <x v="4"/>
    <x v="2"/>
    <s v="App"/>
    <x v="1"/>
    <x v="0"/>
    <n v="9"/>
    <n v="3771"/>
    <n v="33939"/>
    <n v="0"/>
    <n v="0"/>
    <n v="33939"/>
    <n v="23021"/>
    <n v="10918"/>
    <n v="0"/>
    <n v="0"/>
    <n v="3.5"/>
  </r>
  <r>
    <s v="ORD00005"/>
    <x v="4"/>
    <x v="113"/>
    <s v="AJIO Fashion Fiesta"/>
    <x v="6"/>
    <x v="3"/>
    <x v="2"/>
    <s v="Website"/>
    <x v="3"/>
    <x v="1"/>
    <n v="11"/>
    <n v="4219"/>
    <n v="46409"/>
    <n v="10"/>
    <n v="4641"/>
    <n v="41768"/>
    <n v="22661"/>
    <n v="19107"/>
    <n v="0"/>
    <n v="0"/>
    <n v="4.2"/>
  </r>
  <r>
    <s v="ORD00426"/>
    <x v="4"/>
    <x v="114"/>
    <s v="AJIO Back to Campus"/>
    <x v="5"/>
    <x v="6"/>
    <x v="0"/>
    <s v="Website"/>
    <x v="1"/>
    <x v="2"/>
    <n v="2"/>
    <n v="4547"/>
    <n v="9094"/>
    <n v="40"/>
    <n v="3638"/>
    <n v="5456"/>
    <n v="3637"/>
    <n v="1819"/>
    <n v="0"/>
    <n v="0"/>
    <n v="3"/>
  </r>
  <r>
    <s v="ORD00269"/>
    <x v="4"/>
    <x v="115"/>
    <s v="AJIO Mega Brand Sale"/>
    <x v="6"/>
    <x v="0"/>
    <x v="1"/>
    <s v="App"/>
    <x v="2"/>
    <x v="1"/>
    <n v="3"/>
    <n v="4472"/>
    <n v="13416"/>
    <n v="10"/>
    <n v="1342"/>
    <n v="12074"/>
    <n v="7643"/>
    <n v="4431"/>
    <n v="0"/>
    <n v="0"/>
    <n v="3.3"/>
  </r>
  <r>
    <s v="ORD00329"/>
    <x v="4"/>
    <x v="115"/>
    <s v="AJIO Luxury Week"/>
    <x v="1"/>
    <x v="5"/>
    <x v="2"/>
    <s v="App"/>
    <x v="4"/>
    <x v="2"/>
    <n v="9"/>
    <n v="860"/>
    <n v="7740"/>
    <n v="0"/>
    <n v="0"/>
    <n v="7740"/>
    <n v="4312"/>
    <n v="3428"/>
    <n v="2"/>
    <n v="1720"/>
    <n v="3.2"/>
  </r>
  <r>
    <s v="ORD00073"/>
    <x v="5"/>
    <x v="116"/>
    <s v="AJIO Festive Rush"/>
    <x v="5"/>
    <x v="8"/>
    <x v="3"/>
    <s v="Mobile Web"/>
    <x v="0"/>
    <x v="0"/>
    <n v="8"/>
    <n v="2830"/>
    <n v="22640"/>
    <n v="25"/>
    <n v="5660"/>
    <n v="16980"/>
    <n v="9052"/>
    <n v="7928"/>
    <n v="2"/>
    <n v="4245"/>
    <n v="3.4"/>
  </r>
  <r>
    <s v="ORD00175"/>
    <x v="5"/>
    <x v="116"/>
    <s v="AJIO New Year Blowout"/>
    <x v="1"/>
    <x v="2"/>
    <x v="4"/>
    <s v="Mobile Web"/>
    <x v="0"/>
    <x v="0"/>
    <n v="4"/>
    <n v="2464"/>
    <n v="9856"/>
    <n v="10"/>
    <n v="986"/>
    <n v="8870"/>
    <n v="4603"/>
    <n v="4267"/>
    <n v="0"/>
    <n v="0"/>
    <n v="2.6"/>
  </r>
  <r>
    <s v="ORD00081"/>
    <x v="5"/>
    <x v="117"/>
    <s v="AJIO End of Season"/>
    <x v="4"/>
    <x v="6"/>
    <x v="1"/>
    <s v="Website"/>
    <x v="3"/>
    <x v="0"/>
    <n v="7"/>
    <n v="4310"/>
    <n v="30170"/>
    <n v="5"/>
    <n v="1508"/>
    <n v="28662"/>
    <n v="14598"/>
    <n v="14064"/>
    <n v="1"/>
    <n v="4094"/>
    <n v="3.9"/>
  </r>
  <r>
    <s v="ORD00153"/>
    <x v="5"/>
    <x v="117"/>
    <s v="AJIO Fashion Fiesta"/>
    <x v="0"/>
    <x v="0"/>
    <x v="3"/>
    <s v="Mobile Web"/>
    <x v="1"/>
    <x v="1"/>
    <n v="12"/>
    <n v="2945"/>
    <n v="35340"/>
    <n v="40"/>
    <n v="14136"/>
    <n v="21204"/>
    <n v="13866"/>
    <n v="7338"/>
    <n v="2"/>
    <n v="3534"/>
    <n v="3.3"/>
  </r>
  <r>
    <s v="ORD00180"/>
    <x v="5"/>
    <x v="117"/>
    <s v="AJIO Fashion Fiesta"/>
    <x v="5"/>
    <x v="5"/>
    <x v="4"/>
    <s v="App"/>
    <x v="1"/>
    <x v="1"/>
    <n v="7"/>
    <n v="2918"/>
    <n v="20426"/>
    <n v="10"/>
    <n v="2043"/>
    <n v="18383"/>
    <n v="10057"/>
    <n v="8326"/>
    <n v="1"/>
    <n v="2626"/>
    <n v="3"/>
  </r>
  <r>
    <s v="ORD00447"/>
    <x v="5"/>
    <x v="117"/>
    <s v="AJIO New Year Blowout"/>
    <x v="3"/>
    <x v="0"/>
    <x v="4"/>
    <s v="App"/>
    <x v="0"/>
    <x v="2"/>
    <n v="2"/>
    <n v="1675"/>
    <n v="3350"/>
    <n v="10"/>
    <n v="335"/>
    <n v="3015"/>
    <n v="1449"/>
    <n v="1566"/>
    <n v="1"/>
    <n v="1508"/>
    <n v="3.3"/>
  </r>
  <r>
    <s v="ORD00247"/>
    <x v="5"/>
    <x v="118"/>
    <s v="AJIO Sports Carnival"/>
    <x v="6"/>
    <x v="3"/>
    <x v="3"/>
    <s v="App"/>
    <x v="0"/>
    <x v="1"/>
    <n v="1"/>
    <n v="4870"/>
    <n v="4870"/>
    <n v="10"/>
    <n v="487"/>
    <n v="4383"/>
    <n v="2752"/>
    <n v="1631"/>
    <n v="0"/>
    <n v="0"/>
    <n v="2.6"/>
  </r>
  <r>
    <s v="ORD00108"/>
    <x v="5"/>
    <x v="119"/>
    <s v="AJIO Luxury Week"/>
    <x v="4"/>
    <x v="0"/>
    <x v="0"/>
    <s v="Website"/>
    <x v="4"/>
    <x v="0"/>
    <n v="9"/>
    <n v="3275"/>
    <n v="29475"/>
    <n v="50"/>
    <n v="14738"/>
    <n v="14737"/>
    <n v="8510"/>
    <n v="6227"/>
    <n v="1"/>
    <n v="1638"/>
    <n v="3.4"/>
  </r>
  <r>
    <s v="ORD00458"/>
    <x v="5"/>
    <x v="119"/>
    <s v="AJIO Big Bold Sale"/>
    <x v="5"/>
    <x v="0"/>
    <x v="0"/>
    <s v="App"/>
    <x v="1"/>
    <x v="2"/>
    <n v="3"/>
    <n v="1263"/>
    <n v="3789"/>
    <n v="0"/>
    <n v="0"/>
    <n v="3789"/>
    <n v="2140"/>
    <n v="1649"/>
    <n v="0"/>
    <n v="0"/>
    <n v="2.5"/>
  </r>
  <r>
    <s v="ORD00488"/>
    <x v="5"/>
    <x v="120"/>
    <s v="AJIO Big Bold Sale"/>
    <x v="0"/>
    <x v="9"/>
    <x v="2"/>
    <s v="App"/>
    <x v="2"/>
    <x v="1"/>
    <n v="2"/>
    <n v="2768"/>
    <n v="5536"/>
    <n v="40"/>
    <n v="2214"/>
    <n v="3322"/>
    <n v="1787"/>
    <n v="1535"/>
    <n v="1"/>
    <n v="1661"/>
    <n v="3.1"/>
  </r>
  <r>
    <s v="ORD00217"/>
    <x v="5"/>
    <x v="121"/>
    <s v="AJIO New Year Blowout"/>
    <x v="5"/>
    <x v="7"/>
    <x v="3"/>
    <s v="App"/>
    <x v="3"/>
    <x v="0"/>
    <n v="8"/>
    <n v="941"/>
    <n v="7528"/>
    <n v="30"/>
    <n v="2258"/>
    <n v="5270"/>
    <n v="3641"/>
    <n v="1629"/>
    <n v="2"/>
    <n v="1317"/>
    <n v="4.0999999999999996"/>
  </r>
  <r>
    <s v="ORD00077"/>
    <x v="5"/>
    <x v="122"/>
    <s v="AJIO Fashion Fiesta"/>
    <x v="4"/>
    <x v="7"/>
    <x v="3"/>
    <s v="App"/>
    <x v="1"/>
    <x v="0"/>
    <n v="4"/>
    <n v="3265"/>
    <n v="13060"/>
    <n v="20"/>
    <n v="2612"/>
    <n v="10448"/>
    <n v="7307"/>
    <n v="3141"/>
    <n v="0"/>
    <n v="0"/>
    <n v="3.6"/>
  </r>
  <r>
    <s v="ORD00335"/>
    <x v="5"/>
    <x v="123"/>
    <s v="AJIO New Year Blowout"/>
    <x v="0"/>
    <x v="1"/>
    <x v="2"/>
    <s v="App"/>
    <x v="1"/>
    <x v="2"/>
    <n v="1"/>
    <n v="3246"/>
    <n v="3246"/>
    <n v="15"/>
    <n v="487"/>
    <n v="2759"/>
    <n v="1704"/>
    <n v="1055"/>
    <n v="0"/>
    <n v="0"/>
    <n v="4.7"/>
  </r>
  <r>
    <s v="ORD00460"/>
    <x v="5"/>
    <x v="123"/>
    <s v="AJIO Big Bold Sale"/>
    <x v="2"/>
    <x v="3"/>
    <x v="1"/>
    <s v="Website"/>
    <x v="1"/>
    <x v="1"/>
    <n v="13"/>
    <n v="2372"/>
    <n v="30836"/>
    <n v="5"/>
    <n v="1542"/>
    <n v="29294"/>
    <n v="15179"/>
    <n v="14115"/>
    <n v="1"/>
    <n v="2253"/>
    <n v="3.2"/>
  </r>
  <r>
    <s v="ORD00092"/>
    <x v="5"/>
    <x v="124"/>
    <s v="AJIO Festive Rush"/>
    <x v="5"/>
    <x v="5"/>
    <x v="3"/>
    <s v="App"/>
    <x v="3"/>
    <x v="0"/>
    <n v="3"/>
    <n v="2838"/>
    <n v="8514"/>
    <n v="10"/>
    <n v="851"/>
    <n v="7663"/>
    <n v="3659"/>
    <n v="4004"/>
    <n v="0"/>
    <n v="0"/>
    <n v="2.8"/>
  </r>
  <r>
    <s v="ORD00266"/>
    <x v="5"/>
    <x v="125"/>
    <s v="AJIO Festive Rush"/>
    <x v="4"/>
    <x v="1"/>
    <x v="0"/>
    <s v="Website"/>
    <x v="3"/>
    <x v="0"/>
    <n v="11"/>
    <n v="4460"/>
    <n v="49060"/>
    <n v="5"/>
    <n v="2453"/>
    <n v="46607"/>
    <n v="30547"/>
    <n v="16060"/>
    <n v="2"/>
    <n v="8474"/>
    <n v="4.0999999999999996"/>
  </r>
  <r>
    <s v="ORD00306"/>
    <x v="5"/>
    <x v="125"/>
    <s v="AJIO Fashion Fiesta"/>
    <x v="2"/>
    <x v="9"/>
    <x v="2"/>
    <s v="Mobile Web"/>
    <x v="2"/>
    <x v="0"/>
    <n v="14"/>
    <n v="2998"/>
    <n v="41972"/>
    <n v="40"/>
    <n v="16789"/>
    <n v="25183"/>
    <n v="12271"/>
    <n v="12912"/>
    <n v="0"/>
    <n v="0"/>
    <n v="4.4000000000000004"/>
  </r>
  <r>
    <s v="ORD00453"/>
    <x v="5"/>
    <x v="125"/>
    <s v="AJIO New Year Blowout"/>
    <x v="5"/>
    <x v="0"/>
    <x v="4"/>
    <s v="Website"/>
    <x v="2"/>
    <x v="2"/>
    <n v="3"/>
    <n v="2562"/>
    <n v="7686"/>
    <n v="40"/>
    <n v="3074"/>
    <n v="4612"/>
    <n v="3104"/>
    <n v="1508"/>
    <n v="1"/>
    <n v="1537"/>
    <n v="3.7"/>
  </r>
  <r>
    <s v="ORD00152"/>
    <x v="5"/>
    <x v="126"/>
    <s v="AJIO Mega Brand Sale"/>
    <x v="5"/>
    <x v="7"/>
    <x v="3"/>
    <s v="Website"/>
    <x v="4"/>
    <x v="2"/>
    <n v="15"/>
    <n v="2722"/>
    <n v="40830"/>
    <n v="25"/>
    <n v="10208"/>
    <n v="30622"/>
    <n v="20910"/>
    <n v="9712"/>
    <n v="2"/>
    <n v="4083"/>
    <n v="2.9"/>
  </r>
  <r>
    <s v="ORD00038"/>
    <x v="5"/>
    <x v="127"/>
    <s v="AJIO Mega Brand Sale"/>
    <x v="6"/>
    <x v="3"/>
    <x v="1"/>
    <s v="App"/>
    <x v="4"/>
    <x v="0"/>
    <n v="1"/>
    <n v="516"/>
    <n v="516"/>
    <n v="40"/>
    <n v="206"/>
    <n v="310"/>
    <n v="187"/>
    <n v="123"/>
    <n v="0"/>
    <n v="0"/>
    <n v="3.6"/>
  </r>
  <r>
    <s v="ORD00442"/>
    <x v="5"/>
    <x v="127"/>
    <s v="AJIO Luxury Week"/>
    <x v="0"/>
    <x v="5"/>
    <x v="0"/>
    <s v="App"/>
    <x v="4"/>
    <x v="2"/>
    <n v="1"/>
    <n v="2271"/>
    <n v="2271"/>
    <n v="20"/>
    <n v="454"/>
    <n v="1817"/>
    <n v="1149"/>
    <n v="668"/>
    <n v="1"/>
    <n v="1817"/>
    <n v="3.2"/>
  </r>
  <r>
    <s v="ORD00047"/>
    <x v="5"/>
    <x v="128"/>
    <s v="AJIO Fashion Fiesta"/>
    <x v="5"/>
    <x v="6"/>
    <x v="1"/>
    <s v="Website"/>
    <x v="3"/>
    <x v="0"/>
    <n v="8"/>
    <n v="390"/>
    <n v="3120"/>
    <n v="50"/>
    <n v="1560"/>
    <n v="1560"/>
    <n v="722"/>
    <n v="838"/>
    <n v="1"/>
    <n v="195"/>
    <n v="3.1"/>
  </r>
  <r>
    <s v="ORD00165"/>
    <x v="5"/>
    <x v="128"/>
    <s v="AJIO New Year Blowout"/>
    <x v="5"/>
    <x v="4"/>
    <x v="3"/>
    <s v="Mobile Web"/>
    <x v="4"/>
    <x v="0"/>
    <n v="10"/>
    <n v="4323"/>
    <n v="43230"/>
    <n v="30"/>
    <n v="12969"/>
    <n v="30261"/>
    <n v="19874"/>
    <n v="10387"/>
    <n v="2"/>
    <n v="6052"/>
    <n v="3.3"/>
  </r>
  <r>
    <s v="ORD00056"/>
    <x v="5"/>
    <x v="129"/>
    <s v="AJIO Back to Campus"/>
    <x v="1"/>
    <x v="2"/>
    <x v="1"/>
    <s v="Website"/>
    <x v="0"/>
    <x v="1"/>
    <n v="5"/>
    <n v="1481"/>
    <n v="7405"/>
    <n v="5"/>
    <n v="370"/>
    <n v="7035"/>
    <n v="4434"/>
    <n v="2601"/>
    <n v="1"/>
    <n v="1407"/>
    <n v="2.8"/>
  </r>
  <r>
    <s v="ORD00128"/>
    <x v="5"/>
    <x v="129"/>
    <s v="AJIO Summer Splash"/>
    <x v="2"/>
    <x v="1"/>
    <x v="3"/>
    <s v="Mobile Web"/>
    <x v="3"/>
    <x v="0"/>
    <n v="1"/>
    <n v="1955"/>
    <n v="1955"/>
    <n v="25"/>
    <n v="489"/>
    <n v="1466"/>
    <n v="958"/>
    <n v="508"/>
    <n v="0"/>
    <n v="0"/>
    <n v="4.5999999999999996"/>
  </r>
  <r>
    <s v="ORD00179"/>
    <x v="5"/>
    <x v="129"/>
    <s v="AJIO Sports Carnival"/>
    <x v="4"/>
    <x v="6"/>
    <x v="3"/>
    <s v="Website"/>
    <x v="0"/>
    <x v="1"/>
    <n v="3"/>
    <n v="1708"/>
    <n v="5124"/>
    <n v="10"/>
    <n v="512"/>
    <n v="4612"/>
    <n v="2945"/>
    <n v="1667"/>
    <n v="1"/>
    <n v="1537"/>
    <n v="3.1"/>
  </r>
  <r>
    <s v="ORD00280"/>
    <x v="5"/>
    <x v="129"/>
    <s v="AJIO New Year Blowout"/>
    <x v="1"/>
    <x v="4"/>
    <x v="4"/>
    <s v="Mobile Web"/>
    <x v="0"/>
    <x v="2"/>
    <n v="10"/>
    <n v="2522"/>
    <n v="25220"/>
    <n v="10"/>
    <n v="2522"/>
    <n v="22698"/>
    <n v="11777"/>
    <n v="10921"/>
    <n v="0"/>
    <n v="0"/>
    <n v="4"/>
  </r>
  <r>
    <s v="ORD00364"/>
    <x v="5"/>
    <x v="129"/>
    <s v="AJIO Back to Campus"/>
    <x v="5"/>
    <x v="6"/>
    <x v="0"/>
    <s v="Mobile Web"/>
    <x v="2"/>
    <x v="2"/>
    <n v="4"/>
    <n v="2398"/>
    <n v="9592"/>
    <n v="10"/>
    <n v="959"/>
    <n v="8633"/>
    <n v="4101"/>
    <n v="4532"/>
    <n v="1"/>
    <n v="2158"/>
    <n v="4.5"/>
  </r>
  <r>
    <s v="ORD00133"/>
    <x v="5"/>
    <x v="130"/>
    <s v="AJIO Back to Campus"/>
    <x v="1"/>
    <x v="9"/>
    <x v="1"/>
    <s v="Mobile Web"/>
    <x v="0"/>
    <x v="1"/>
    <n v="11"/>
    <n v="4905"/>
    <n v="53955"/>
    <n v="0"/>
    <n v="0"/>
    <n v="53955"/>
    <n v="25292"/>
    <n v="28663"/>
    <n v="2"/>
    <n v="9810"/>
    <n v="3.5"/>
  </r>
  <r>
    <s v="ORD00190"/>
    <x v="6"/>
    <x v="131"/>
    <s v="AJIO Big Bold Sale"/>
    <x v="3"/>
    <x v="6"/>
    <x v="2"/>
    <s v="Website"/>
    <x v="0"/>
    <x v="1"/>
    <n v="10"/>
    <n v="1442"/>
    <n v="14420"/>
    <n v="15"/>
    <n v="2163"/>
    <n v="12257"/>
    <n v="6435"/>
    <n v="5822"/>
    <n v="0"/>
    <n v="0"/>
    <n v="4.0999999999999996"/>
  </r>
  <r>
    <s v="ORD00252"/>
    <x v="6"/>
    <x v="132"/>
    <s v="AJIO Back to Campus"/>
    <x v="1"/>
    <x v="2"/>
    <x v="2"/>
    <s v="Mobile Web"/>
    <x v="3"/>
    <x v="1"/>
    <n v="14"/>
    <n v="4955"/>
    <n v="69370"/>
    <n v="0"/>
    <n v="0"/>
    <n v="69370"/>
    <n v="47728"/>
    <n v="21642"/>
    <n v="3"/>
    <n v="14865"/>
    <n v="3.9"/>
  </r>
  <r>
    <s v="ORD00201"/>
    <x v="6"/>
    <x v="133"/>
    <s v="AJIO Mega Brand Sale"/>
    <x v="3"/>
    <x v="3"/>
    <x v="4"/>
    <s v="Mobile Web"/>
    <x v="1"/>
    <x v="0"/>
    <n v="8"/>
    <n v="802"/>
    <n v="6416"/>
    <n v="20"/>
    <n v="1283"/>
    <n v="5133"/>
    <n v="2319"/>
    <n v="2814"/>
    <n v="1"/>
    <n v="642"/>
    <n v="3.3"/>
  </r>
  <r>
    <s v="ORD00235"/>
    <x v="6"/>
    <x v="133"/>
    <s v="AJIO Fashion Fiesta"/>
    <x v="3"/>
    <x v="5"/>
    <x v="4"/>
    <s v="Mobile Web"/>
    <x v="0"/>
    <x v="1"/>
    <n v="9"/>
    <n v="3509"/>
    <n v="31581"/>
    <n v="40"/>
    <n v="12632"/>
    <n v="18949"/>
    <n v="13049"/>
    <n v="5900"/>
    <n v="0"/>
    <n v="0"/>
    <n v="2.5"/>
  </r>
  <r>
    <s v="ORD00138"/>
    <x v="6"/>
    <x v="134"/>
    <s v="AJIO Back to Campus"/>
    <x v="0"/>
    <x v="3"/>
    <x v="2"/>
    <s v="App"/>
    <x v="4"/>
    <x v="0"/>
    <n v="13"/>
    <n v="2621"/>
    <n v="34073"/>
    <n v="25"/>
    <n v="8518"/>
    <n v="25555"/>
    <n v="15039"/>
    <n v="10516"/>
    <n v="2"/>
    <n v="3932"/>
    <n v="3.7"/>
  </r>
  <r>
    <s v="ORD00317"/>
    <x v="6"/>
    <x v="135"/>
    <s v="AJIO Fashion Fiesta"/>
    <x v="5"/>
    <x v="9"/>
    <x v="0"/>
    <s v="Website"/>
    <x v="3"/>
    <x v="2"/>
    <n v="13"/>
    <n v="3212"/>
    <n v="41756"/>
    <n v="40"/>
    <n v="16702"/>
    <n v="25054"/>
    <n v="15763"/>
    <n v="9291"/>
    <n v="2"/>
    <n v="3854"/>
    <n v="4.3"/>
  </r>
  <r>
    <s v="ORD00352"/>
    <x v="6"/>
    <x v="136"/>
    <s v="AJIO Big Bold Sale"/>
    <x v="0"/>
    <x v="1"/>
    <x v="3"/>
    <s v="Website"/>
    <x v="0"/>
    <x v="0"/>
    <n v="9"/>
    <n v="2206"/>
    <n v="19854"/>
    <n v="25"/>
    <n v="4964"/>
    <n v="14890"/>
    <n v="8513"/>
    <n v="6377"/>
    <n v="1"/>
    <n v="1654"/>
    <n v="4.7"/>
  </r>
  <r>
    <s v="ORD00496"/>
    <x v="6"/>
    <x v="136"/>
    <s v="AJIO New Year Blowout"/>
    <x v="0"/>
    <x v="0"/>
    <x v="2"/>
    <s v="Website"/>
    <x v="3"/>
    <x v="2"/>
    <n v="4"/>
    <n v="1129"/>
    <n v="4516"/>
    <n v="0"/>
    <n v="0"/>
    <n v="4516"/>
    <n v="3125"/>
    <n v="1391"/>
    <n v="0"/>
    <n v="0"/>
    <n v="3.2"/>
  </r>
  <r>
    <s v="ORD00049"/>
    <x v="6"/>
    <x v="137"/>
    <s v="AJIO Sports Carnival"/>
    <x v="2"/>
    <x v="8"/>
    <x v="3"/>
    <s v="Mobile Web"/>
    <x v="2"/>
    <x v="0"/>
    <n v="5"/>
    <n v="807"/>
    <n v="4035"/>
    <n v="0"/>
    <n v="0"/>
    <n v="4035"/>
    <n v="2753"/>
    <n v="1282"/>
    <n v="1"/>
    <n v="807"/>
    <n v="3.5"/>
  </r>
  <r>
    <s v="ORD00408"/>
    <x v="6"/>
    <x v="137"/>
    <s v="AJIO Fashion Fiesta"/>
    <x v="5"/>
    <x v="9"/>
    <x v="3"/>
    <s v="Website"/>
    <x v="1"/>
    <x v="0"/>
    <n v="12"/>
    <n v="630"/>
    <n v="7560"/>
    <n v="20"/>
    <n v="1512"/>
    <n v="6048"/>
    <n v="2839"/>
    <n v="3209"/>
    <n v="1"/>
    <n v="504"/>
    <n v="4.9000000000000004"/>
  </r>
  <r>
    <s v="ORD00135"/>
    <x v="6"/>
    <x v="138"/>
    <s v="AJIO Luxury Week"/>
    <x v="3"/>
    <x v="7"/>
    <x v="2"/>
    <s v="Mobile Web"/>
    <x v="4"/>
    <x v="2"/>
    <n v="6"/>
    <n v="2170"/>
    <n v="13020"/>
    <n v="20"/>
    <n v="2604"/>
    <n v="10416"/>
    <n v="5337"/>
    <n v="5079"/>
    <n v="0"/>
    <n v="0"/>
    <n v="2.6"/>
  </r>
  <r>
    <s v="ORD00146"/>
    <x v="6"/>
    <x v="138"/>
    <s v="AJIO New Year Blowout"/>
    <x v="0"/>
    <x v="2"/>
    <x v="2"/>
    <s v="Website"/>
    <x v="4"/>
    <x v="1"/>
    <n v="2"/>
    <n v="1556"/>
    <n v="3112"/>
    <n v="15"/>
    <n v="467"/>
    <n v="2645"/>
    <n v="1283"/>
    <n v="1362"/>
    <n v="0"/>
    <n v="0"/>
    <n v="3.2"/>
  </r>
  <r>
    <s v="ORD00169"/>
    <x v="6"/>
    <x v="139"/>
    <s v="AJIO Fashion Fiesta"/>
    <x v="1"/>
    <x v="2"/>
    <x v="4"/>
    <s v="Mobile Web"/>
    <x v="4"/>
    <x v="0"/>
    <n v="11"/>
    <n v="3846"/>
    <n v="42306"/>
    <n v="5"/>
    <n v="2115"/>
    <n v="40191"/>
    <n v="23366"/>
    <n v="16825"/>
    <n v="2"/>
    <n v="7307"/>
    <n v="4.3"/>
  </r>
  <r>
    <s v="ORD00174"/>
    <x v="6"/>
    <x v="140"/>
    <s v="AJIO Big Bold Sale"/>
    <x v="6"/>
    <x v="2"/>
    <x v="0"/>
    <s v="Mobile Web"/>
    <x v="3"/>
    <x v="0"/>
    <n v="3"/>
    <n v="4965"/>
    <n v="14895"/>
    <n v="30"/>
    <n v="4468"/>
    <n v="10427"/>
    <n v="6071"/>
    <n v="4356"/>
    <n v="0"/>
    <n v="0"/>
    <n v="4.5999999999999996"/>
  </r>
  <r>
    <s v="ORD00202"/>
    <x v="6"/>
    <x v="141"/>
    <s v="AJIO Festive Rush"/>
    <x v="5"/>
    <x v="0"/>
    <x v="4"/>
    <s v="Website"/>
    <x v="0"/>
    <x v="2"/>
    <n v="10"/>
    <n v="939"/>
    <n v="9390"/>
    <n v="25"/>
    <n v="2348"/>
    <n v="7042"/>
    <n v="4231"/>
    <n v="2811"/>
    <n v="2"/>
    <n v="1408"/>
    <n v="3"/>
  </r>
  <r>
    <s v="ORD00404"/>
    <x v="6"/>
    <x v="141"/>
    <s v="AJIO Summer Splash"/>
    <x v="4"/>
    <x v="5"/>
    <x v="2"/>
    <s v="Mobile Web"/>
    <x v="3"/>
    <x v="2"/>
    <n v="4"/>
    <n v="1806"/>
    <n v="7224"/>
    <n v="5"/>
    <n v="361"/>
    <n v="6863"/>
    <n v="4218"/>
    <n v="2645"/>
    <n v="1"/>
    <n v="1716"/>
    <n v="3"/>
  </r>
  <r>
    <s v="ORD00031"/>
    <x v="6"/>
    <x v="142"/>
    <s v="AJIO End of Season"/>
    <x v="5"/>
    <x v="9"/>
    <x v="4"/>
    <s v="App"/>
    <x v="4"/>
    <x v="1"/>
    <n v="6"/>
    <n v="1733"/>
    <n v="10398"/>
    <n v="15"/>
    <n v="1560"/>
    <n v="8838"/>
    <n v="4470"/>
    <n v="4368"/>
    <n v="0"/>
    <n v="0"/>
    <n v="3.5"/>
  </r>
  <r>
    <s v="ORD00231"/>
    <x v="6"/>
    <x v="142"/>
    <s v="AJIO Luxury Week"/>
    <x v="5"/>
    <x v="5"/>
    <x v="0"/>
    <s v="App"/>
    <x v="1"/>
    <x v="2"/>
    <n v="1"/>
    <n v="3168"/>
    <n v="3168"/>
    <n v="10"/>
    <n v="317"/>
    <n v="2851"/>
    <n v="1597"/>
    <n v="1254"/>
    <n v="0"/>
    <n v="0"/>
    <n v="4.0999999999999996"/>
  </r>
  <r>
    <s v="ORD00043"/>
    <x v="6"/>
    <x v="143"/>
    <s v="AJIO Mega Brand Sale"/>
    <x v="4"/>
    <x v="5"/>
    <x v="0"/>
    <s v="App"/>
    <x v="0"/>
    <x v="1"/>
    <n v="6"/>
    <n v="2849"/>
    <n v="17094"/>
    <n v="30"/>
    <n v="5128"/>
    <n v="11966"/>
    <n v="5571"/>
    <n v="6395"/>
    <n v="1"/>
    <n v="1994"/>
    <n v="3.5"/>
  </r>
  <r>
    <s v="ORD00072"/>
    <x v="6"/>
    <x v="143"/>
    <s v="AJIO End of Season"/>
    <x v="2"/>
    <x v="8"/>
    <x v="3"/>
    <s v="Mobile Web"/>
    <x v="4"/>
    <x v="0"/>
    <n v="5"/>
    <n v="3931"/>
    <n v="19655"/>
    <n v="30"/>
    <n v="5896"/>
    <n v="13759"/>
    <n v="7361"/>
    <n v="6398"/>
    <n v="1"/>
    <n v="2752"/>
    <n v="4.5999999999999996"/>
  </r>
  <r>
    <s v="ORD00112"/>
    <x v="6"/>
    <x v="143"/>
    <s v="AJIO Big Bold Sale"/>
    <x v="1"/>
    <x v="8"/>
    <x v="3"/>
    <s v="Mobile Web"/>
    <x v="2"/>
    <x v="1"/>
    <n v="15"/>
    <n v="4105"/>
    <n v="61575"/>
    <n v="15"/>
    <n v="9236"/>
    <n v="52339"/>
    <n v="27760"/>
    <n v="24579"/>
    <n v="3"/>
    <n v="10468"/>
    <n v="3.8"/>
  </r>
  <r>
    <s v="ORD00216"/>
    <x v="6"/>
    <x v="143"/>
    <s v="AJIO Luxury Week"/>
    <x v="1"/>
    <x v="5"/>
    <x v="4"/>
    <s v="Mobile Web"/>
    <x v="1"/>
    <x v="2"/>
    <n v="15"/>
    <n v="3332"/>
    <n v="49980"/>
    <n v="10"/>
    <n v="4998"/>
    <n v="44982"/>
    <n v="26482"/>
    <n v="18500"/>
    <n v="3"/>
    <n v="8996"/>
    <n v="3.2"/>
  </r>
  <r>
    <s v="ORD00257"/>
    <x v="6"/>
    <x v="143"/>
    <s v="AJIO Festive Rush"/>
    <x v="2"/>
    <x v="6"/>
    <x v="0"/>
    <s v="Mobile Web"/>
    <x v="1"/>
    <x v="0"/>
    <n v="11"/>
    <n v="4971"/>
    <n v="54681"/>
    <n v="50"/>
    <n v="27340"/>
    <n v="27341"/>
    <n v="17736"/>
    <n v="9605"/>
    <n v="1"/>
    <n v="2486"/>
    <n v="4.5"/>
  </r>
  <r>
    <s v="ORD00334"/>
    <x v="6"/>
    <x v="144"/>
    <s v="AJIO Sports Carnival"/>
    <x v="3"/>
    <x v="2"/>
    <x v="1"/>
    <s v="App"/>
    <x v="1"/>
    <x v="1"/>
    <n v="9"/>
    <n v="4072"/>
    <n v="36648"/>
    <n v="40"/>
    <n v="14659"/>
    <n v="21989"/>
    <n v="12571"/>
    <n v="9418"/>
    <n v="1"/>
    <n v="2443"/>
    <n v="4.7"/>
  </r>
  <r>
    <s v="ORD00114"/>
    <x v="6"/>
    <x v="145"/>
    <s v="AJIO Mega Brand Sale"/>
    <x v="1"/>
    <x v="0"/>
    <x v="3"/>
    <s v="App"/>
    <x v="3"/>
    <x v="0"/>
    <n v="6"/>
    <n v="743"/>
    <n v="4458"/>
    <n v="30"/>
    <n v="1337"/>
    <n v="3121"/>
    <n v="1626"/>
    <n v="1495"/>
    <n v="0"/>
    <n v="0"/>
    <n v="3.3"/>
  </r>
  <r>
    <s v="ORD00292"/>
    <x v="6"/>
    <x v="145"/>
    <s v="AJIO Festive Rush"/>
    <x v="4"/>
    <x v="9"/>
    <x v="3"/>
    <s v="Mobile Web"/>
    <x v="1"/>
    <x v="0"/>
    <n v="6"/>
    <n v="3714"/>
    <n v="22284"/>
    <n v="15"/>
    <n v="3343"/>
    <n v="18941"/>
    <n v="11773"/>
    <n v="7168"/>
    <n v="1"/>
    <n v="3157"/>
    <n v="4.8"/>
  </r>
  <r>
    <s v="ORD00020"/>
    <x v="6"/>
    <x v="146"/>
    <s v="AJIO Back to Campus"/>
    <x v="3"/>
    <x v="7"/>
    <x v="1"/>
    <s v="Website"/>
    <x v="1"/>
    <x v="2"/>
    <n v="12"/>
    <n v="2586"/>
    <n v="31032"/>
    <n v="15"/>
    <n v="4655"/>
    <n v="26377"/>
    <n v="13826"/>
    <n v="12551"/>
    <n v="0"/>
    <n v="0"/>
    <n v="3.9"/>
  </r>
  <r>
    <s v="ORD00338"/>
    <x v="6"/>
    <x v="146"/>
    <s v="AJIO Back to Campus"/>
    <x v="4"/>
    <x v="1"/>
    <x v="3"/>
    <s v="App"/>
    <x v="1"/>
    <x v="0"/>
    <n v="13"/>
    <n v="3805"/>
    <n v="49465"/>
    <n v="0"/>
    <n v="0"/>
    <n v="49465"/>
    <n v="30927"/>
    <n v="18538"/>
    <n v="0"/>
    <n v="0"/>
    <n v="3.4"/>
  </r>
  <r>
    <s v="ORD00429"/>
    <x v="6"/>
    <x v="147"/>
    <s v="AJIO End of Season"/>
    <x v="4"/>
    <x v="5"/>
    <x v="2"/>
    <s v="Mobile Web"/>
    <x v="0"/>
    <x v="2"/>
    <n v="11"/>
    <n v="3178"/>
    <n v="34958"/>
    <n v="15"/>
    <n v="5244"/>
    <n v="29714"/>
    <n v="16471"/>
    <n v="13243"/>
    <n v="2"/>
    <n v="5403"/>
    <n v="2.9"/>
  </r>
  <r>
    <s v="ORD00276"/>
    <x v="6"/>
    <x v="148"/>
    <s v="AJIO Luxury Week"/>
    <x v="5"/>
    <x v="9"/>
    <x v="3"/>
    <s v="Mobile Web"/>
    <x v="1"/>
    <x v="2"/>
    <n v="11"/>
    <n v="4918"/>
    <n v="54098"/>
    <n v="10"/>
    <n v="5410"/>
    <n v="48688"/>
    <n v="23374"/>
    <n v="25314"/>
    <n v="1"/>
    <n v="4426"/>
    <n v="2.9"/>
  </r>
  <r>
    <s v="ORD00420"/>
    <x v="6"/>
    <x v="148"/>
    <s v="AJIO Mega Brand Sale"/>
    <x v="4"/>
    <x v="8"/>
    <x v="0"/>
    <s v="Mobile Web"/>
    <x v="1"/>
    <x v="2"/>
    <n v="9"/>
    <n v="1456"/>
    <n v="13104"/>
    <n v="5"/>
    <n v="655"/>
    <n v="12449"/>
    <n v="6431"/>
    <n v="6018"/>
    <n v="1"/>
    <n v="1383"/>
    <n v="3.3"/>
  </r>
  <r>
    <s v="ORD00130"/>
    <x v="6"/>
    <x v="149"/>
    <s v="AJIO Festive Rush"/>
    <x v="5"/>
    <x v="2"/>
    <x v="4"/>
    <s v="Website"/>
    <x v="2"/>
    <x v="2"/>
    <n v="4"/>
    <n v="1644"/>
    <n v="6576"/>
    <n v="0"/>
    <n v="0"/>
    <n v="6576"/>
    <n v="4383"/>
    <n v="2193"/>
    <n v="1"/>
    <n v="1644"/>
    <n v="3.2"/>
  </r>
  <r>
    <s v="ORD00387"/>
    <x v="6"/>
    <x v="149"/>
    <s v="AJIO Summer Splash"/>
    <x v="0"/>
    <x v="1"/>
    <x v="2"/>
    <s v="Website"/>
    <x v="1"/>
    <x v="0"/>
    <n v="2"/>
    <n v="3377"/>
    <n v="6754"/>
    <n v="30"/>
    <n v="2026"/>
    <n v="4728"/>
    <n v="2493"/>
    <n v="2235"/>
    <n v="0"/>
    <n v="0"/>
    <n v="4.3"/>
  </r>
  <r>
    <s v="ORD00438"/>
    <x v="6"/>
    <x v="149"/>
    <s v="AJIO Summer Splash"/>
    <x v="3"/>
    <x v="4"/>
    <x v="4"/>
    <s v="App"/>
    <x v="0"/>
    <x v="1"/>
    <n v="10"/>
    <n v="4618"/>
    <n v="46180"/>
    <n v="50"/>
    <n v="23090"/>
    <n v="23090"/>
    <n v="15607"/>
    <n v="7483"/>
    <n v="1"/>
    <n v="2309"/>
    <n v="4.5999999999999996"/>
  </r>
  <r>
    <s v="ORD00060"/>
    <x v="6"/>
    <x v="150"/>
    <s v="AJIO New Year Blowout"/>
    <x v="1"/>
    <x v="1"/>
    <x v="3"/>
    <s v="Mobile Web"/>
    <x v="2"/>
    <x v="0"/>
    <n v="3"/>
    <n v="4111"/>
    <n v="12333"/>
    <n v="20"/>
    <n v="2467"/>
    <n v="9866"/>
    <n v="4650"/>
    <n v="5216"/>
    <n v="0"/>
    <n v="0"/>
    <n v="2.8"/>
  </r>
  <r>
    <s v="ORD00095"/>
    <x v="6"/>
    <x v="150"/>
    <s v="AJIO Mega Brand Sale"/>
    <x v="1"/>
    <x v="1"/>
    <x v="4"/>
    <s v="Mobile Web"/>
    <x v="0"/>
    <x v="0"/>
    <n v="15"/>
    <n v="679"/>
    <n v="10185"/>
    <n v="10"/>
    <n v="1018"/>
    <n v="9167"/>
    <n v="4276"/>
    <n v="4891"/>
    <n v="2"/>
    <n v="1222"/>
    <n v="4.0999999999999996"/>
  </r>
  <r>
    <s v="ORD00284"/>
    <x v="6"/>
    <x v="151"/>
    <s v="AJIO Festive Rush"/>
    <x v="2"/>
    <x v="2"/>
    <x v="3"/>
    <s v="App"/>
    <x v="4"/>
    <x v="0"/>
    <n v="15"/>
    <n v="4214"/>
    <n v="63210"/>
    <n v="0"/>
    <n v="0"/>
    <n v="63210"/>
    <n v="32387"/>
    <n v="30823"/>
    <n v="3"/>
    <n v="12642"/>
    <n v="2.6"/>
  </r>
  <r>
    <s v="ORD00472"/>
    <x v="6"/>
    <x v="151"/>
    <s v="AJIO End of Season"/>
    <x v="5"/>
    <x v="5"/>
    <x v="1"/>
    <s v="App"/>
    <x v="3"/>
    <x v="2"/>
    <n v="1"/>
    <n v="303"/>
    <n v="303"/>
    <n v="50"/>
    <n v="152"/>
    <n v="151"/>
    <n v="99"/>
    <n v="52"/>
    <n v="1"/>
    <n v="152"/>
    <n v="2.8"/>
  </r>
  <r>
    <s v="ORD00212"/>
    <x v="6"/>
    <x v="152"/>
    <s v="AJIO Sports Carnival"/>
    <x v="4"/>
    <x v="5"/>
    <x v="0"/>
    <s v="Mobile Web"/>
    <x v="0"/>
    <x v="1"/>
    <n v="1"/>
    <n v="3765"/>
    <n v="3765"/>
    <n v="15"/>
    <n v="565"/>
    <n v="3200"/>
    <n v="1800"/>
    <n v="1400"/>
    <n v="1"/>
    <n v="3200"/>
    <n v="3.5"/>
  </r>
  <r>
    <s v="ORD00356"/>
    <x v="6"/>
    <x v="152"/>
    <s v="AJIO New Year Blowout"/>
    <x v="0"/>
    <x v="8"/>
    <x v="2"/>
    <s v="Mobile Web"/>
    <x v="3"/>
    <x v="0"/>
    <n v="4"/>
    <n v="2410"/>
    <n v="9640"/>
    <n v="40"/>
    <n v="3856"/>
    <n v="5784"/>
    <n v="3857"/>
    <n v="1927"/>
    <n v="0"/>
    <n v="0"/>
    <n v="3"/>
  </r>
  <r>
    <s v="ORD00076"/>
    <x v="6"/>
    <x v="153"/>
    <s v="AJIO New Year Blowout"/>
    <x v="5"/>
    <x v="5"/>
    <x v="2"/>
    <s v="Website"/>
    <x v="3"/>
    <x v="1"/>
    <n v="10"/>
    <n v="3555"/>
    <n v="35550"/>
    <n v="5"/>
    <n v="1778"/>
    <n v="33772"/>
    <n v="22389"/>
    <n v="11383"/>
    <n v="2"/>
    <n v="6754"/>
    <n v="4.5999999999999996"/>
  </r>
  <r>
    <s v="ORD00205"/>
    <x v="6"/>
    <x v="153"/>
    <s v="AJIO Mega Brand Sale"/>
    <x v="4"/>
    <x v="7"/>
    <x v="0"/>
    <s v="Mobile Web"/>
    <x v="3"/>
    <x v="0"/>
    <n v="5"/>
    <n v="3395"/>
    <n v="16975"/>
    <n v="30"/>
    <n v="5092"/>
    <n v="11883"/>
    <n v="7691"/>
    <n v="4192"/>
    <n v="0"/>
    <n v="0"/>
    <n v="3.6"/>
  </r>
  <r>
    <s v="ORD00232"/>
    <x v="6"/>
    <x v="154"/>
    <s v="AJIO Luxury Week"/>
    <x v="0"/>
    <x v="7"/>
    <x v="0"/>
    <s v="App"/>
    <x v="2"/>
    <x v="0"/>
    <n v="13"/>
    <n v="878"/>
    <n v="11414"/>
    <n v="30"/>
    <n v="3424"/>
    <n v="7990"/>
    <n v="4298"/>
    <n v="3692"/>
    <n v="3"/>
    <n v="1844"/>
    <n v="3.3"/>
  </r>
  <r>
    <s v="ORD00156"/>
    <x v="6"/>
    <x v="155"/>
    <s v="AJIO Summer Splash"/>
    <x v="4"/>
    <x v="3"/>
    <x v="4"/>
    <s v="Mobile Web"/>
    <x v="1"/>
    <x v="1"/>
    <n v="14"/>
    <n v="4286"/>
    <n v="60004"/>
    <n v="0"/>
    <n v="0"/>
    <n v="60004"/>
    <n v="37589"/>
    <n v="22415"/>
    <n v="1"/>
    <n v="4286"/>
    <n v="3.9"/>
  </r>
  <r>
    <s v="ORD00268"/>
    <x v="6"/>
    <x v="155"/>
    <s v="AJIO Big Bold Sale"/>
    <x v="1"/>
    <x v="6"/>
    <x v="1"/>
    <s v="Mobile Web"/>
    <x v="0"/>
    <x v="0"/>
    <n v="14"/>
    <n v="2553"/>
    <n v="35742"/>
    <n v="15"/>
    <n v="5361"/>
    <n v="30381"/>
    <n v="14907"/>
    <n v="15474"/>
    <n v="0"/>
    <n v="0"/>
    <n v="4.5"/>
  </r>
  <r>
    <s v="ORD00432"/>
    <x v="6"/>
    <x v="155"/>
    <s v="AJIO Mega Brand Sale"/>
    <x v="1"/>
    <x v="4"/>
    <x v="4"/>
    <s v="Mobile Web"/>
    <x v="3"/>
    <x v="0"/>
    <n v="13"/>
    <n v="1182"/>
    <n v="15366"/>
    <n v="10"/>
    <n v="1537"/>
    <n v="13829"/>
    <n v="6862"/>
    <n v="6967"/>
    <n v="2"/>
    <n v="2128"/>
    <n v="4"/>
  </r>
  <r>
    <s v="ORD00320"/>
    <x v="7"/>
    <x v="156"/>
    <s v="AJIO Big Bold Sale"/>
    <x v="6"/>
    <x v="8"/>
    <x v="2"/>
    <s v="Website"/>
    <x v="0"/>
    <x v="2"/>
    <n v="10"/>
    <n v="4793"/>
    <n v="47930"/>
    <n v="10"/>
    <n v="4793"/>
    <n v="43137"/>
    <n v="29806"/>
    <n v="13331"/>
    <n v="0"/>
    <n v="0"/>
    <n v="3.8"/>
  </r>
  <r>
    <s v="ORD00154"/>
    <x v="7"/>
    <x v="157"/>
    <s v="AJIO Back to Campus"/>
    <x v="0"/>
    <x v="4"/>
    <x v="2"/>
    <s v="Mobile Web"/>
    <x v="0"/>
    <x v="1"/>
    <n v="11"/>
    <n v="3979"/>
    <n v="43769"/>
    <n v="15"/>
    <n v="6565"/>
    <n v="37204"/>
    <n v="23452"/>
    <n v="13752"/>
    <n v="2"/>
    <n v="6764"/>
    <n v="3.7"/>
  </r>
  <r>
    <s v="ORD00089"/>
    <x v="7"/>
    <x v="158"/>
    <s v="AJIO Summer Splash"/>
    <x v="0"/>
    <x v="5"/>
    <x v="4"/>
    <s v="Mobile Web"/>
    <x v="2"/>
    <x v="1"/>
    <n v="10"/>
    <n v="2217"/>
    <n v="22170"/>
    <n v="20"/>
    <n v="4434"/>
    <n v="17736"/>
    <n v="8126"/>
    <n v="9610"/>
    <n v="1"/>
    <n v="1774"/>
    <n v="3"/>
  </r>
  <r>
    <s v="ORD00308"/>
    <x v="7"/>
    <x v="159"/>
    <s v="AJIO End of Season"/>
    <x v="4"/>
    <x v="1"/>
    <x v="2"/>
    <s v="App"/>
    <x v="2"/>
    <x v="0"/>
    <n v="11"/>
    <n v="3341"/>
    <n v="36751"/>
    <n v="25"/>
    <n v="9188"/>
    <n v="27563"/>
    <n v="14867"/>
    <n v="12696"/>
    <n v="1"/>
    <n v="2506"/>
    <n v="4.9000000000000004"/>
  </r>
  <r>
    <s v="ORD00229"/>
    <x v="7"/>
    <x v="160"/>
    <s v="AJIO Festive Rush"/>
    <x v="4"/>
    <x v="1"/>
    <x v="2"/>
    <s v="App"/>
    <x v="4"/>
    <x v="1"/>
    <n v="2"/>
    <n v="923"/>
    <n v="1846"/>
    <n v="15"/>
    <n v="277"/>
    <n v="1569"/>
    <n v="910"/>
    <n v="659"/>
    <n v="1"/>
    <n v="785"/>
    <n v="2.5"/>
  </r>
  <r>
    <s v="ORD00360"/>
    <x v="7"/>
    <x v="160"/>
    <s v="AJIO Sports Carnival"/>
    <x v="2"/>
    <x v="7"/>
    <x v="4"/>
    <s v="Website"/>
    <x v="1"/>
    <x v="2"/>
    <n v="15"/>
    <n v="3878"/>
    <n v="58170"/>
    <n v="5"/>
    <n v="2908"/>
    <n v="55262"/>
    <n v="30746"/>
    <n v="24516"/>
    <n v="2"/>
    <n v="7368"/>
    <n v="3.7"/>
  </r>
  <r>
    <s v="ORD00029"/>
    <x v="7"/>
    <x v="161"/>
    <s v="AJIO Luxury Week"/>
    <x v="2"/>
    <x v="9"/>
    <x v="1"/>
    <s v="Website"/>
    <x v="2"/>
    <x v="1"/>
    <n v="4"/>
    <n v="3505"/>
    <n v="14020"/>
    <n v="5"/>
    <n v="701"/>
    <n v="13319"/>
    <n v="7171"/>
    <n v="6148"/>
    <n v="1"/>
    <n v="3330"/>
    <n v="4.9000000000000004"/>
  </r>
  <r>
    <s v="ORD00132"/>
    <x v="7"/>
    <x v="161"/>
    <s v="AJIO Summer Splash"/>
    <x v="0"/>
    <x v="5"/>
    <x v="3"/>
    <s v="Website"/>
    <x v="3"/>
    <x v="0"/>
    <n v="2"/>
    <n v="1840"/>
    <n v="3680"/>
    <n v="20"/>
    <n v="736"/>
    <n v="2944"/>
    <n v="1550"/>
    <n v="1394"/>
    <n v="1"/>
    <n v="1472"/>
    <n v="2.9"/>
  </r>
  <r>
    <s v="ORD00468"/>
    <x v="7"/>
    <x v="161"/>
    <s v="AJIO Mega Brand Sale"/>
    <x v="5"/>
    <x v="6"/>
    <x v="3"/>
    <s v="Website"/>
    <x v="1"/>
    <x v="2"/>
    <n v="4"/>
    <n v="1113"/>
    <n v="4452"/>
    <n v="5"/>
    <n v="223"/>
    <n v="4229"/>
    <n v="2685"/>
    <n v="1544"/>
    <n v="1"/>
    <n v="1057"/>
    <n v="2.8"/>
  </r>
  <r>
    <s v="ORD00141"/>
    <x v="7"/>
    <x v="162"/>
    <s v="AJIO End of Season"/>
    <x v="0"/>
    <x v="9"/>
    <x v="2"/>
    <s v="Mobile Web"/>
    <x v="4"/>
    <x v="1"/>
    <n v="3"/>
    <n v="1060"/>
    <n v="3180"/>
    <n v="15"/>
    <n v="477"/>
    <n v="2703"/>
    <n v="1450"/>
    <n v="1253"/>
    <n v="1"/>
    <n v="901"/>
    <n v="4.5999999999999996"/>
  </r>
  <r>
    <s v="ORD00045"/>
    <x v="7"/>
    <x v="163"/>
    <s v="AJIO Mega Brand Sale"/>
    <x v="1"/>
    <x v="9"/>
    <x v="4"/>
    <s v="Website"/>
    <x v="0"/>
    <x v="2"/>
    <n v="3"/>
    <n v="4249"/>
    <n v="12747"/>
    <n v="10"/>
    <n v="1275"/>
    <n v="11472"/>
    <n v="7975"/>
    <n v="3497"/>
    <n v="0"/>
    <n v="0"/>
    <n v="4.8"/>
  </r>
  <r>
    <s v="ORD00131"/>
    <x v="7"/>
    <x v="163"/>
    <s v="AJIO Fashion Fiesta"/>
    <x v="1"/>
    <x v="7"/>
    <x v="4"/>
    <s v="Website"/>
    <x v="4"/>
    <x v="1"/>
    <n v="12"/>
    <n v="2637"/>
    <n v="31644"/>
    <n v="50"/>
    <n v="15822"/>
    <n v="15822"/>
    <n v="8175"/>
    <n v="7647"/>
    <n v="0"/>
    <n v="0"/>
    <n v="4.3"/>
  </r>
  <r>
    <s v="ORD00264"/>
    <x v="7"/>
    <x v="163"/>
    <s v="AJIO End of Season"/>
    <x v="5"/>
    <x v="7"/>
    <x v="1"/>
    <s v="App"/>
    <x v="1"/>
    <x v="2"/>
    <n v="15"/>
    <n v="4665"/>
    <n v="69975"/>
    <n v="25"/>
    <n v="17494"/>
    <n v="52481"/>
    <n v="26545"/>
    <n v="25936"/>
    <n v="1"/>
    <n v="3499"/>
    <n v="3.4"/>
  </r>
  <r>
    <s v="ORD00392"/>
    <x v="7"/>
    <x v="163"/>
    <s v="AJIO Back to Campus"/>
    <x v="1"/>
    <x v="3"/>
    <x v="0"/>
    <s v="Mobile Web"/>
    <x v="0"/>
    <x v="1"/>
    <n v="4"/>
    <n v="1535"/>
    <n v="6140"/>
    <n v="30"/>
    <n v="1842"/>
    <n v="4298"/>
    <n v="2606"/>
    <n v="1692"/>
    <n v="1"/>
    <n v="1074"/>
    <n v="3.2"/>
  </r>
  <r>
    <s v="ORD00120"/>
    <x v="7"/>
    <x v="164"/>
    <s v="AJIO Festive Rush"/>
    <x v="1"/>
    <x v="4"/>
    <x v="4"/>
    <s v="Mobile Web"/>
    <x v="1"/>
    <x v="1"/>
    <n v="3"/>
    <n v="4138"/>
    <n v="12414"/>
    <n v="10"/>
    <n v="1241"/>
    <n v="11173"/>
    <n v="7466"/>
    <n v="3707"/>
    <n v="0"/>
    <n v="0"/>
    <n v="4.0999999999999996"/>
  </r>
  <r>
    <s v="ORD00145"/>
    <x v="7"/>
    <x v="164"/>
    <s v="AJIO Luxury Week"/>
    <x v="1"/>
    <x v="7"/>
    <x v="4"/>
    <s v="App"/>
    <x v="3"/>
    <x v="2"/>
    <n v="3"/>
    <n v="1768"/>
    <n v="5304"/>
    <n v="25"/>
    <n v="1326"/>
    <n v="3978"/>
    <n v="2520"/>
    <n v="1458"/>
    <n v="1"/>
    <n v="1326"/>
    <n v="4.9000000000000004"/>
  </r>
  <r>
    <s v="ORD00422"/>
    <x v="7"/>
    <x v="165"/>
    <s v="AJIO Mega Brand Sale"/>
    <x v="0"/>
    <x v="5"/>
    <x v="4"/>
    <s v="App"/>
    <x v="4"/>
    <x v="0"/>
    <n v="11"/>
    <n v="2056"/>
    <n v="22616"/>
    <n v="5"/>
    <n v="1131"/>
    <n v="21485"/>
    <n v="10272"/>
    <n v="11213"/>
    <n v="0"/>
    <n v="0"/>
    <n v="3.1"/>
  </r>
  <r>
    <s v="ORD00119"/>
    <x v="7"/>
    <x v="166"/>
    <s v="AJIO Mega Brand Sale"/>
    <x v="0"/>
    <x v="4"/>
    <x v="4"/>
    <s v="App"/>
    <x v="1"/>
    <x v="0"/>
    <n v="5"/>
    <n v="4837"/>
    <n v="24185"/>
    <n v="40"/>
    <n v="9674"/>
    <n v="14511"/>
    <n v="9809"/>
    <n v="4702"/>
    <n v="0"/>
    <n v="0"/>
    <n v="3.4"/>
  </r>
  <r>
    <s v="ORD00267"/>
    <x v="7"/>
    <x v="167"/>
    <s v="AJIO Luxury Week"/>
    <x v="6"/>
    <x v="4"/>
    <x v="0"/>
    <s v="App"/>
    <x v="2"/>
    <x v="1"/>
    <n v="5"/>
    <n v="3998"/>
    <n v="19990"/>
    <n v="0"/>
    <n v="0"/>
    <n v="19990"/>
    <n v="9236"/>
    <n v="10754"/>
    <n v="1"/>
    <n v="3998"/>
    <n v="4.3"/>
  </r>
  <r>
    <s v="ORD00113"/>
    <x v="7"/>
    <x v="168"/>
    <s v="AJIO End of Season"/>
    <x v="6"/>
    <x v="0"/>
    <x v="2"/>
    <s v="Mobile Web"/>
    <x v="4"/>
    <x v="0"/>
    <n v="4"/>
    <n v="3625"/>
    <n v="14500"/>
    <n v="40"/>
    <n v="5800"/>
    <n v="8700"/>
    <n v="5055"/>
    <n v="3645"/>
    <n v="0"/>
    <n v="0"/>
    <n v="3.4"/>
  </r>
  <r>
    <s v="ORD00122"/>
    <x v="7"/>
    <x v="168"/>
    <s v="AJIO Fashion Fiesta"/>
    <x v="3"/>
    <x v="9"/>
    <x v="4"/>
    <s v="App"/>
    <x v="0"/>
    <x v="2"/>
    <n v="6"/>
    <n v="1407"/>
    <n v="8442"/>
    <n v="5"/>
    <n v="422"/>
    <n v="8020"/>
    <n v="4361"/>
    <n v="3659"/>
    <n v="0"/>
    <n v="0"/>
    <n v="3.3"/>
  </r>
  <r>
    <s v="ORD00181"/>
    <x v="7"/>
    <x v="168"/>
    <s v="AJIO Mega Brand Sale"/>
    <x v="5"/>
    <x v="0"/>
    <x v="2"/>
    <s v="Mobile Web"/>
    <x v="4"/>
    <x v="0"/>
    <n v="5"/>
    <n v="2072"/>
    <n v="10360"/>
    <n v="0"/>
    <n v="0"/>
    <n v="10360"/>
    <n v="6925"/>
    <n v="3435"/>
    <n v="0"/>
    <n v="0"/>
    <n v="4.5"/>
  </r>
  <r>
    <s v="ORD00476"/>
    <x v="7"/>
    <x v="168"/>
    <s v="AJIO Back to Campus"/>
    <x v="1"/>
    <x v="0"/>
    <x v="0"/>
    <s v="App"/>
    <x v="0"/>
    <x v="2"/>
    <n v="1"/>
    <n v="3015"/>
    <n v="3015"/>
    <n v="15"/>
    <n v="452"/>
    <n v="2563"/>
    <n v="1610"/>
    <n v="953"/>
    <n v="1"/>
    <n v="2563"/>
    <n v="3.5"/>
  </r>
  <r>
    <s v="ORD00091"/>
    <x v="7"/>
    <x v="169"/>
    <s v="AJIO Sports Carnival"/>
    <x v="6"/>
    <x v="3"/>
    <x v="3"/>
    <s v="App"/>
    <x v="2"/>
    <x v="1"/>
    <n v="4"/>
    <n v="4946"/>
    <n v="19784"/>
    <n v="15"/>
    <n v="2968"/>
    <n v="16816"/>
    <n v="7856"/>
    <n v="8960"/>
    <n v="0"/>
    <n v="0"/>
    <n v="4"/>
  </r>
  <r>
    <s v="ORD00225"/>
    <x v="7"/>
    <x v="169"/>
    <s v="AJIO New Year Blowout"/>
    <x v="1"/>
    <x v="0"/>
    <x v="3"/>
    <s v="App"/>
    <x v="2"/>
    <x v="2"/>
    <n v="8"/>
    <n v="3283"/>
    <n v="26264"/>
    <n v="25"/>
    <n v="6566"/>
    <n v="19698"/>
    <n v="13050"/>
    <n v="6648"/>
    <n v="2"/>
    <n v="4924"/>
    <n v="3.5"/>
  </r>
  <r>
    <s v="ORD00188"/>
    <x v="7"/>
    <x v="170"/>
    <s v="AJIO Back to Campus"/>
    <x v="3"/>
    <x v="9"/>
    <x v="3"/>
    <s v="Mobile Web"/>
    <x v="1"/>
    <x v="1"/>
    <n v="11"/>
    <n v="2592"/>
    <n v="28512"/>
    <n v="0"/>
    <n v="0"/>
    <n v="28512"/>
    <n v="16624"/>
    <n v="11888"/>
    <n v="1"/>
    <n v="2592"/>
    <n v="2.5"/>
  </r>
  <r>
    <s v="ORD00210"/>
    <x v="7"/>
    <x v="170"/>
    <s v="AJIO Fashion Fiesta"/>
    <x v="5"/>
    <x v="3"/>
    <x v="3"/>
    <s v="Website"/>
    <x v="3"/>
    <x v="1"/>
    <n v="2"/>
    <n v="2358"/>
    <n v="4716"/>
    <n v="40"/>
    <n v="1886"/>
    <n v="2830"/>
    <n v="1499"/>
    <n v="1331"/>
    <n v="1"/>
    <n v="1415"/>
    <n v="2.6"/>
  </r>
  <r>
    <s v="ORD00245"/>
    <x v="7"/>
    <x v="170"/>
    <s v="AJIO Sports Carnival"/>
    <x v="6"/>
    <x v="0"/>
    <x v="0"/>
    <s v="Website"/>
    <x v="1"/>
    <x v="1"/>
    <n v="12"/>
    <n v="3226"/>
    <n v="38712"/>
    <n v="40"/>
    <n v="15485"/>
    <n v="23227"/>
    <n v="12591"/>
    <n v="10636"/>
    <n v="3"/>
    <n v="5807"/>
    <n v="5"/>
  </r>
  <r>
    <s v="ORD00377"/>
    <x v="7"/>
    <x v="171"/>
    <s v="AJIO Luxury Week"/>
    <x v="6"/>
    <x v="2"/>
    <x v="4"/>
    <s v="Website"/>
    <x v="2"/>
    <x v="0"/>
    <n v="11"/>
    <n v="1290"/>
    <n v="14190"/>
    <n v="5"/>
    <n v="710"/>
    <n v="13480"/>
    <n v="7163"/>
    <n v="6317"/>
    <n v="2"/>
    <n v="2451"/>
    <n v="4.7"/>
  </r>
  <r>
    <s v="ORD00427"/>
    <x v="7"/>
    <x v="171"/>
    <s v="AJIO End of Season"/>
    <x v="0"/>
    <x v="9"/>
    <x v="2"/>
    <s v="App"/>
    <x v="1"/>
    <x v="1"/>
    <n v="6"/>
    <n v="2602"/>
    <n v="15612"/>
    <n v="10"/>
    <n v="1561"/>
    <n v="14051"/>
    <n v="6387"/>
    <n v="7664"/>
    <n v="1"/>
    <n v="2342"/>
    <n v="3.4"/>
  </r>
  <r>
    <s v="ORD00315"/>
    <x v="7"/>
    <x v="172"/>
    <s v="AJIO New Year Blowout"/>
    <x v="1"/>
    <x v="8"/>
    <x v="4"/>
    <s v="App"/>
    <x v="0"/>
    <x v="1"/>
    <n v="6"/>
    <n v="857"/>
    <n v="5142"/>
    <n v="40"/>
    <n v="2057"/>
    <n v="3085"/>
    <n v="1963"/>
    <n v="1122"/>
    <n v="0"/>
    <n v="0"/>
    <n v="2.8"/>
  </r>
  <r>
    <s v="ORD00069"/>
    <x v="7"/>
    <x v="173"/>
    <s v="AJIO Luxury Week"/>
    <x v="1"/>
    <x v="9"/>
    <x v="0"/>
    <s v="Mobile Web"/>
    <x v="3"/>
    <x v="2"/>
    <n v="13"/>
    <n v="2642"/>
    <n v="34346"/>
    <n v="40"/>
    <n v="13738"/>
    <n v="20608"/>
    <n v="13189"/>
    <n v="7419"/>
    <n v="1"/>
    <n v="1585"/>
    <n v="3.2"/>
  </r>
  <r>
    <s v="ORD00071"/>
    <x v="7"/>
    <x v="173"/>
    <s v="AJIO Luxury Week"/>
    <x v="6"/>
    <x v="5"/>
    <x v="4"/>
    <s v="Mobile Web"/>
    <x v="3"/>
    <x v="2"/>
    <n v="12"/>
    <n v="1584"/>
    <n v="19008"/>
    <n v="40"/>
    <n v="7603"/>
    <n v="11405"/>
    <n v="7927"/>
    <n v="3478"/>
    <n v="1"/>
    <n v="950"/>
    <n v="3.6"/>
  </r>
  <r>
    <s v="ORD00467"/>
    <x v="7"/>
    <x v="173"/>
    <s v="AJIO Mega Brand Sale"/>
    <x v="1"/>
    <x v="8"/>
    <x v="4"/>
    <s v="App"/>
    <x v="1"/>
    <x v="0"/>
    <n v="9"/>
    <n v="1046"/>
    <n v="9414"/>
    <n v="40"/>
    <n v="3766"/>
    <n v="5648"/>
    <n v="3084"/>
    <n v="2564"/>
    <n v="1"/>
    <n v="628"/>
    <n v="3"/>
  </r>
  <r>
    <s v="ORD00040"/>
    <x v="7"/>
    <x v="174"/>
    <s v="AJIO Summer Splash"/>
    <x v="6"/>
    <x v="2"/>
    <x v="0"/>
    <s v="App"/>
    <x v="0"/>
    <x v="0"/>
    <n v="13"/>
    <n v="2483"/>
    <n v="32279"/>
    <n v="50"/>
    <n v="16140"/>
    <n v="16139"/>
    <n v="11248"/>
    <n v="4891"/>
    <n v="2"/>
    <n v="2483"/>
    <n v="4.9000000000000004"/>
  </r>
  <r>
    <s v="ORD00469"/>
    <x v="7"/>
    <x v="174"/>
    <s v="AJIO Big Bold Sale"/>
    <x v="3"/>
    <x v="2"/>
    <x v="2"/>
    <s v="Website"/>
    <x v="4"/>
    <x v="1"/>
    <n v="7"/>
    <n v="626"/>
    <n v="4382"/>
    <n v="5"/>
    <n v="219"/>
    <n v="4163"/>
    <n v="2587"/>
    <n v="1576"/>
    <n v="1"/>
    <n v="595"/>
    <n v="3.3"/>
  </r>
  <r>
    <s v="ORD00063"/>
    <x v="7"/>
    <x v="175"/>
    <s v="AJIO Back to Campus"/>
    <x v="3"/>
    <x v="9"/>
    <x v="0"/>
    <s v="Website"/>
    <x v="3"/>
    <x v="2"/>
    <n v="14"/>
    <n v="2433"/>
    <n v="34062"/>
    <n v="15"/>
    <n v="5109"/>
    <n v="28953"/>
    <n v="19716"/>
    <n v="9237"/>
    <n v="1"/>
    <n v="2068"/>
    <n v="3.6"/>
  </r>
  <r>
    <s v="ORD00295"/>
    <x v="7"/>
    <x v="175"/>
    <s v="AJIO New Year Blowout"/>
    <x v="6"/>
    <x v="8"/>
    <x v="3"/>
    <s v="Mobile Web"/>
    <x v="2"/>
    <x v="1"/>
    <n v="15"/>
    <n v="1213"/>
    <n v="18195"/>
    <n v="5"/>
    <n v="910"/>
    <n v="17285"/>
    <n v="11527"/>
    <n v="5758"/>
    <n v="3"/>
    <n v="3457"/>
    <n v="3.8"/>
  </r>
  <r>
    <s v="ORD00087"/>
    <x v="7"/>
    <x v="176"/>
    <s v="AJIO Fashion Fiesta"/>
    <x v="6"/>
    <x v="8"/>
    <x v="3"/>
    <s v="Website"/>
    <x v="1"/>
    <x v="0"/>
    <n v="11"/>
    <n v="596"/>
    <n v="6556"/>
    <n v="40"/>
    <n v="2622"/>
    <n v="3934"/>
    <n v="2665"/>
    <n v="1269"/>
    <n v="1"/>
    <n v="358"/>
    <n v="4.0999999999999996"/>
  </r>
  <r>
    <s v="ORD00173"/>
    <x v="7"/>
    <x v="176"/>
    <s v="AJIO New Year Blowout"/>
    <x v="6"/>
    <x v="4"/>
    <x v="4"/>
    <s v="App"/>
    <x v="4"/>
    <x v="2"/>
    <n v="12"/>
    <n v="3335"/>
    <n v="40020"/>
    <n v="30"/>
    <n v="12006"/>
    <n v="28014"/>
    <n v="15229"/>
    <n v="12785"/>
    <n v="3"/>
    <n v="7004"/>
    <n v="3.6"/>
  </r>
  <r>
    <s v="ORD00500"/>
    <x v="7"/>
    <x v="176"/>
    <s v="AJIO Luxury Week"/>
    <x v="0"/>
    <x v="9"/>
    <x v="0"/>
    <s v="Mobile Web"/>
    <x v="4"/>
    <x v="0"/>
    <n v="3"/>
    <n v="3273"/>
    <n v="9819"/>
    <n v="20"/>
    <n v="1964"/>
    <n v="7855"/>
    <n v="5146"/>
    <n v="2709"/>
    <n v="0"/>
    <n v="0"/>
    <n v="3.6"/>
  </r>
  <r>
    <s v="ORD00286"/>
    <x v="7"/>
    <x v="177"/>
    <s v="AJIO Mega Brand Sale"/>
    <x v="0"/>
    <x v="2"/>
    <x v="1"/>
    <s v="Website"/>
    <x v="4"/>
    <x v="1"/>
    <n v="12"/>
    <n v="4204"/>
    <n v="50448"/>
    <n v="5"/>
    <n v="2522"/>
    <n v="47926"/>
    <n v="24982"/>
    <n v="22944"/>
    <n v="3"/>
    <n v="11981"/>
    <n v="2.6"/>
  </r>
  <r>
    <s v="ORD00419"/>
    <x v="8"/>
    <x v="178"/>
    <s v="AJIO Summer Splash"/>
    <x v="0"/>
    <x v="9"/>
    <x v="3"/>
    <s v="Website"/>
    <x v="3"/>
    <x v="0"/>
    <n v="7"/>
    <n v="2658"/>
    <n v="18606"/>
    <n v="10"/>
    <n v="1861"/>
    <n v="16745"/>
    <n v="10725"/>
    <n v="6020"/>
    <n v="1"/>
    <n v="2392"/>
    <n v="3.9"/>
  </r>
  <r>
    <s v="ORD00485"/>
    <x v="8"/>
    <x v="178"/>
    <s v="AJIO Festive Rush"/>
    <x v="4"/>
    <x v="2"/>
    <x v="0"/>
    <s v="Website"/>
    <x v="0"/>
    <x v="1"/>
    <n v="5"/>
    <n v="981"/>
    <n v="4905"/>
    <n v="30"/>
    <n v="1472"/>
    <n v="3433"/>
    <n v="1555"/>
    <n v="1878"/>
    <n v="1"/>
    <n v="687"/>
    <n v="3.5"/>
  </r>
  <r>
    <s v="ORD00206"/>
    <x v="8"/>
    <x v="179"/>
    <s v="AJIO Sports Carnival"/>
    <x v="0"/>
    <x v="6"/>
    <x v="3"/>
    <s v="Mobile Web"/>
    <x v="0"/>
    <x v="2"/>
    <n v="1"/>
    <n v="4015"/>
    <n v="4015"/>
    <n v="25"/>
    <n v="1004"/>
    <n v="3011"/>
    <n v="1883"/>
    <n v="1128"/>
    <n v="0"/>
    <n v="0"/>
    <n v="2.8"/>
  </r>
  <r>
    <s v="ORD00258"/>
    <x v="8"/>
    <x v="179"/>
    <s v="AJIO End of Season"/>
    <x v="0"/>
    <x v="7"/>
    <x v="1"/>
    <s v="Mobile Web"/>
    <x v="1"/>
    <x v="1"/>
    <n v="7"/>
    <n v="1570"/>
    <n v="10990"/>
    <n v="0"/>
    <n v="0"/>
    <n v="10990"/>
    <n v="5822"/>
    <n v="5168"/>
    <n v="0"/>
    <n v="0"/>
    <n v="2.6"/>
  </r>
  <r>
    <s v="ORD00390"/>
    <x v="8"/>
    <x v="180"/>
    <s v="AJIO Summer Splash"/>
    <x v="0"/>
    <x v="3"/>
    <x v="2"/>
    <s v="Website"/>
    <x v="3"/>
    <x v="1"/>
    <n v="7"/>
    <n v="1520"/>
    <n v="10640"/>
    <n v="20"/>
    <n v="2128"/>
    <n v="8512"/>
    <n v="3853"/>
    <n v="4659"/>
    <n v="0"/>
    <n v="0"/>
    <n v="3.4"/>
  </r>
  <r>
    <s v="ORD00270"/>
    <x v="8"/>
    <x v="181"/>
    <s v="AJIO New Year Blowout"/>
    <x v="4"/>
    <x v="9"/>
    <x v="4"/>
    <s v="Mobile Web"/>
    <x v="4"/>
    <x v="2"/>
    <n v="15"/>
    <n v="2340"/>
    <n v="35100"/>
    <n v="0"/>
    <n v="0"/>
    <n v="35100"/>
    <n v="16684"/>
    <n v="18416"/>
    <n v="1"/>
    <n v="2340"/>
    <n v="4.9000000000000004"/>
  </r>
  <r>
    <s v="ORD00402"/>
    <x v="8"/>
    <x v="182"/>
    <s v="AJIO End of Season"/>
    <x v="4"/>
    <x v="7"/>
    <x v="3"/>
    <s v="Website"/>
    <x v="1"/>
    <x v="2"/>
    <n v="8"/>
    <n v="1191"/>
    <n v="9528"/>
    <n v="10"/>
    <n v="953"/>
    <n v="8575"/>
    <n v="5024"/>
    <n v="3551"/>
    <n v="1"/>
    <n v="1072"/>
    <n v="4.3"/>
  </r>
  <r>
    <s v="ORD00483"/>
    <x v="8"/>
    <x v="182"/>
    <s v="AJIO Sports Carnival"/>
    <x v="2"/>
    <x v="2"/>
    <x v="2"/>
    <s v="Website"/>
    <x v="2"/>
    <x v="0"/>
    <n v="10"/>
    <n v="4689"/>
    <n v="46890"/>
    <n v="10"/>
    <n v="4689"/>
    <n v="42201"/>
    <n v="27827"/>
    <n v="14374"/>
    <n v="1"/>
    <n v="4220"/>
    <n v="4.4000000000000004"/>
  </r>
  <r>
    <s v="ORD00297"/>
    <x v="8"/>
    <x v="183"/>
    <s v="AJIO Fashion Fiesta"/>
    <x v="3"/>
    <x v="5"/>
    <x v="1"/>
    <s v="Mobile Web"/>
    <x v="2"/>
    <x v="0"/>
    <n v="8"/>
    <n v="1585"/>
    <n v="12680"/>
    <n v="10"/>
    <n v="1268"/>
    <n v="11412"/>
    <n v="6780"/>
    <n v="4632"/>
    <n v="0"/>
    <n v="0"/>
    <n v="3.7"/>
  </r>
  <r>
    <s v="ORD00343"/>
    <x v="8"/>
    <x v="183"/>
    <s v="AJIO End of Season"/>
    <x v="3"/>
    <x v="0"/>
    <x v="0"/>
    <s v="Mobile Web"/>
    <x v="4"/>
    <x v="0"/>
    <n v="5"/>
    <n v="3211"/>
    <n v="16055"/>
    <n v="15"/>
    <n v="2408"/>
    <n v="13647"/>
    <n v="7225"/>
    <n v="6422"/>
    <n v="1"/>
    <n v="2729"/>
    <n v="3.3"/>
  </r>
  <r>
    <s v="ORD00027"/>
    <x v="8"/>
    <x v="184"/>
    <s v="AJIO Summer Splash"/>
    <x v="3"/>
    <x v="9"/>
    <x v="2"/>
    <s v="Mobile Web"/>
    <x v="0"/>
    <x v="1"/>
    <n v="1"/>
    <n v="316"/>
    <n v="316"/>
    <n v="10"/>
    <n v="32"/>
    <n v="284"/>
    <n v="173"/>
    <n v="111"/>
    <n v="1"/>
    <n v="284"/>
    <n v="2.9"/>
  </r>
  <r>
    <s v="ORD00224"/>
    <x v="8"/>
    <x v="184"/>
    <s v="AJIO Festive Rush"/>
    <x v="2"/>
    <x v="8"/>
    <x v="1"/>
    <s v="Mobile Web"/>
    <x v="0"/>
    <x v="1"/>
    <n v="8"/>
    <n v="654"/>
    <n v="5232"/>
    <n v="5"/>
    <n v="262"/>
    <n v="4970"/>
    <n v="2737"/>
    <n v="2233"/>
    <n v="2"/>
    <n v="1243"/>
    <n v="3.2"/>
  </r>
  <r>
    <s v="ORD00301"/>
    <x v="8"/>
    <x v="184"/>
    <s v="AJIO Luxury Week"/>
    <x v="3"/>
    <x v="3"/>
    <x v="0"/>
    <s v="Website"/>
    <x v="2"/>
    <x v="0"/>
    <n v="4"/>
    <n v="3717"/>
    <n v="14868"/>
    <n v="10"/>
    <n v="1487"/>
    <n v="13381"/>
    <n v="6728"/>
    <n v="6653"/>
    <n v="0"/>
    <n v="0"/>
    <n v="4"/>
  </r>
  <r>
    <s v="ORD00196"/>
    <x v="8"/>
    <x v="185"/>
    <s v="AJIO Sports Carnival"/>
    <x v="2"/>
    <x v="0"/>
    <x v="3"/>
    <s v="Website"/>
    <x v="0"/>
    <x v="0"/>
    <n v="11"/>
    <n v="3053"/>
    <n v="33583"/>
    <n v="30"/>
    <n v="10075"/>
    <n v="23508"/>
    <n v="11082"/>
    <n v="12426"/>
    <n v="2"/>
    <n v="4274"/>
    <n v="3.2"/>
  </r>
  <r>
    <s v="ORD00492"/>
    <x v="8"/>
    <x v="185"/>
    <s v="AJIO End of Season"/>
    <x v="2"/>
    <x v="8"/>
    <x v="4"/>
    <s v="App"/>
    <x v="0"/>
    <x v="0"/>
    <n v="3"/>
    <n v="2840"/>
    <n v="8520"/>
    <n v="30"/>
    <n v="2556"/>
    <n v="5964"/>
    <n v="3009"/>
    <n v="2955"/>
    <n v="0"/>
    <n v="0"/>
    <n v="4.8"/>
  </r>
  <r>
    <s v="ORD00319"/>
    <x v="8"/>
    <x v="186"/>
    <s v="AJIO Fashion Fiesta"/>
    <x v="2"/>
    <x v="6"/>
    <x v="2"/>
    <s v="Website"/>
    <x v="1"/>
    <x v="0"/>
    <n v="4"/>
    <n v="867"/>
    <n v="3468"/>
    <n v="30"/>
    <n v="1040"/>
    <n v="2428"/>
    <n v="1223"/>
    <n v="1205"/>
    <n v="0"/>
    <n v="0"/>
    <n v="4.3"/>
  </r>
  <r>
    <s v="ORD00395"/>
    <x v="8"/>
    <x v="186"/>
    <s v="AJIO New Year Blowout"/>
    <x v="2"/>
    <x v="0"/>
    <x v="4"/>
    <s v="Website"/>
    <x v="0"/>
    <x v="1"/>
    <n v="8"/>
    <n v="3575"/>
    <n v="28600"/>
    <n v="0"/>
    <n v="0"/>
    <n v="28600"/>
    <n v="15231"/>
    <n v="13369"/>
    <n v="0"/>
    <n v="0"/>
    <n v="2.6"/>
  </r>
  <r>
    <s v="ORD00075"/>
    <x v="8"/>
    <x v="187"/>
    <s v="AJIO Luxury Week"/>
    <x v="6"/>
    <x v="5"/>
    <x v="3"/>
    <s v="Mobile Web"/>
    <x v="3"/>
    <x v="0"/>
    <n v="14"/>
    <n v="4271"/>
    <n v="59794"/>
    <n v="5"/>
    <n v="2990"/>
    <n v="56804"/>
    <n v="33031"/>
    <n v="23773"/>
    <n v="3"/>
    <n v="12172"/>
    <n v="2.5"/>
  </r>
  <r>
    <s v="ORD00144"/>
    <x v="8"/>
    <x v="188"/>
    <s v="AJIO Luxury Week"/>
    <x v="4"/>
    <x v="2"/>
    <x v="1"/>
    <s v="Mobile Web"/>
    <x v="3"/>
    <x v="1"/>
    <n v="4"/>
    <n v="4081"/>
    <n v="16324"/>
    <n v="30"/>
    <n v="4897"/>
    <n v="11427"/>
    <n v="5992"/>
    <n v="5435"/>
    <n v="0"/>
    <n v="0"/>
    <n v="4.2"/>
  </r>
  <r>
    <s v="ORD00148"/>
    <x v="8"/>
    <x v="188"/>
    <s v="AJIO Summer Splash"/>
    <x v="6"/>
    <x v="1"/>
    <x v="4"/>
    <s v="Mobile Web"/>
    <x v="0"/>
    <x v="0"/>
    <n v="4"/>
    <n v="3041"/>
    <n v="12164"/>
    <n v="0"/>
    <n v="0"/>
    <n v="12164"/>
    <n v="5627"/>
    <n v="6537"/>
    <n v="1"/>
    <n v="3041"/>
    <n v="4"/>
  </r>
  <r>
    <s v="ORD00305"/>
    <x v="8"/>
    <x v="188"/>
    <s v="AJIO Summer Splash"/>
    <x v="2"/>
    <x v="8"/>
    <x v="0"/>
    <s v="Website"/>
    <x v="1"/>
    <x v="0"/>
    <n v="6"/>
    <n v="3605"/>
    <n v="21630"/>
    <n v="20"/>
    <n v="4326"/>
    <n v="17304"/>
    <n v="8481"/>
    <n v="8823"/>
    <n v="1"/>
    <n v="2884"/>
    <n v="4.8"/>
  </r>
  <r>
    <s v="ORD00136"/>
    <x v="8"/>
    <x v="189"/>
    <s v="AJIO Luxury Week"/>
    <x v="0"/>
    <x v="6"/>
    <x v="3"/>
    <s v="App"/>
    <x v="3"/>
    <x v="1"/>
    <n v="12"/>
    <n v="2396"/>
    <n v="28752"/>
    <n v="20"/>
    <n v="5750"/>
    <n v="23002"/>
    <n v="14342"/>
    <n v="8660"/>
    <n v="3"/>
    <n v="5750"/>
    <n v="3"/>
  </r>
  <r>
    <s v="ORD00353"/>
    <x v="8"/>
    <x v="190"/>
    <s v="AJIO Fashion Fiesta"/>
    <x v="2"/>
    <x v="7"/>
    <x v="0"/>
    <s v="App"/>
    <x v="2"/>
    <x v="2"/>
    <n v="11"/>
    <n v="1619"/>
    <n v="17809"/>
    <n v="10"/>
    <n v="1781"/>
    <n v="16028"/>
    <n v="7962"/>
    <n v="8066"/>
    <n v="1"/>
    <n v="1457"/>
    <n v="4"/>
  </r>
  <r>
    <s v="ORD00244"/>
    <x v="8"/>
    <x v="191"/>
    <s v="AJIO Back to Campus"/>
    <x v="4"/>
    <x v="9"/>
    <x v="0"/>
    <s v="App"/>
    <x v="1"/>
    <x v="0"/>
    <n v="7"/>
    <n v="623"/>
    <n v="4361"/>
    <n v="40"/>
    <n v="1744"/>
    <n v="2617"/>
    <n v="1744"/>
    <n v="873"/>
    <n v="1"/>
    <n v="374"/>
    <n v="3.3"/>
  </r>
  <r>
    <s v="ORD00359"/>
    <x v="8"/>
    <x v="191"/>
    <s v="AJIO Back to Campus"/>
    <x v="5"/>
    <x v="1"/>
    <x v="2"/>
    <s v="Website"/>
    <x v="4"/>
    <x v="2"/>
    <n v="9"/>
    <n v="4188"/>
    <n v="37692"/>
    <n v="30"/>
    <n v="11308"/>
    <n v="26384"/>
    <n v="15316"/>
    <n v="11068"/>
    <n v="1"/>
    <n v="2932"/>
    <n v="4.7"/>
  </r>
  <r>
    <s v="ORD00322"/>
    <x v="8"/>
    <x v="192"/>
    <s v="AJIO Mega Brand Sale"/>
    <x v="1"/>
    <x v="6"/>
    <x v="3"/>
    <s v="Mobile Web"/>
    <x v="4"/>
    <x v="1"/>
    <n v="7"/>
    <n v="4828"/>
    <n v="33796"/>
    <n v="20"/>
    <n v="6759"/>
    <n v="27037"/>
    <n v="15228"/>
    <n v="11809"/>
    <n v="0"/>
    <n v="0"/>
    <n v="2.8"/>
  </r>
  <r>
    <s v="ORD00051"/>
    <x v="8"/>
    <x v="193"/>
    <s v="AJIO Back to Campus"/>
    <x v="4"/>
    <x v="0"/>
    <x v="2"/>
    <s v="Website"/>
    <x v="0"/>
    <x v="0"/>
    <n v="7"/>
    <n v="4815"/>
    <n v="33705"/>
    <n v="40"/>
    <n v="13482"/>
    <n v="20223"/>
    <n v="12676"/>
    <n v="7547"/>
    <n v="1"/>
    <n v="2889"/>
    <n v="2.9"/>
  </r>
  <r>
    <s v="ORD00111"/>
    <x v="8"/>
    <x v="193"/>
    <s v="AJIO Back to Campus"/>
    <x v="6"/>
    <x v="4"/>
    <x v="4"/>
    <s v="Website"/>
    <x v="2"/>
    <x v="0"/>
    <n v="6"/>
    <n v="4208"/>
    <n v="25248"/>
    <n v="5"/>
    <n v="1262"/>
    <n v="23986"/>
    <n v="14659"/>
    <n v="9327"/>
    <n v="0"/>
    <n v="0"/>
    <n v="4"/>
  </r>
  <r>
    <s v="ORD00127"/>
    <x v="8"/>
    <x v="193"/>
    <s v="AJIO Fashion Fiesta"/>
    <x v="5"/>
    <x v="2"/>
    <x v="3"/>
    <s v="App"/>
    <x v="0"/>
    <x v="1"/>
    <n v="1"/>
    <n v="3287"/>
    <n v="3287"/>
    <n v="25"/>
    <n v="822"/>
    <n v="2465"/>
    <n v="1266"/>
    <n v="1199"/>
    <n v="0"/>
    <n v="0"/>
    <n v="3.4"/>
  </r>
  <r>
    <s v="ORD00293"/>
    <x v="8"/>
    <x v="193"/>
    <s v="AJIO Luxury Week"/>
    <x v="3"/>
    <x v="5"/>
    <x v="3"/>
    <s v="App"/>
    <x v="3"/>
    <x v="0"/>
    <n v="8"/>
    <n v="900"/>
    <n v="7200"/>
    <n v="20"/>
    <n v="1440"/>
    <n v="5760"/>
    <n v="3636"/>
    <n v="2124"/>
    <n v="2"/>
    <n v="1440"/>
    <n v="4.4000000000000004"/>
  </r>
  <r>
    <s v="ORD00009"/>
    <x v="8"/>
    <x v="194"/>
    <s v="AJIO Summer Splash"/>
    <x v="1"/>
    <x v="1"/>
    <x v="2"/>
    <s v="App"/>
    <x v="4"/>
    <x v="2"/>
    <n v="3"/>
    <n v="4022"/>
    <n v="12066"/>
    <n v="30"/>
    <n v="3620"/>
    <n v="8446"/>
    <n v="5060"/>
    <n v="3386"/>
    <n v="1"/>
    <n v="2815"/>
    <n v="3.5"/>
  </r>
  <r>
    <s v="ORD00234"/>
    <x v="8"/>
    <x v="194"/>
    <s v="AJIO Big Bold Sale"/>
    <x v="2"/>
    <x v="6"/>
    <x v="1"/>
    <s v="Mobile Web"/>
    <x v="2"/>
    <x v="0"/>
    <n v="8"/>
    <n v="2113"/>
    <n v="16904"/>
    <n v="15"/>
    <n v="2536"/>
    <n v="14368"/>
    <n v="8260"/>
    <n v="6108"/>
    <n v="2"/>
    <n v="3592"/>
    <n v="2.7"/>
  </r>
  <r>
    <s v="ORD00094"/>
    <x v="8"/>
    <x v="195"/>
    <s v="AJIO Summer Splash"/>
    <x v="0"/>
    <x v="1"/>
    <x v="4"/>
    <s v="Mobile Web"/>
    <x v="4"/>
    <x v="2"/>
    <n v="1"/>
    <n v="3717"/>
    <n v="3717"/>
    <n v="50"/>
    <n v="1858"/>
    <n v="1859"/>
    <n v="977"/>
    <n v="882"/>
    <n v="0"/>
    <n v="0"/>
    <n v="2.7"/>
  </r>
  <r>
    <s v="ORD00184"/>
    <x v="8"/>
    <x v="195"/>
    <s v="AJIO Big Bold Sale"/>
    <x v="1"/>
    <x v="7"/>
    <x v="2"/>
    <s v="Mobile Web"/>
    <x v="0"/>
    <x v="1"/>
    <n v="15"/>
    <n v="1254"/>
    <n v="18810"/>
    <n v="25"/>
    <n v="4702"/>
    <n v="14108"/>
    <n v="7809"/>
    <n v="6299"/>
    <n v="1"/>
    <n v="940"/>
    <n v="4.4000000000000004"/>
  </r>
  <r>
    <s v="ORD00042"/>
    <x v="8"/>
    <x v="196"/>
    <s v="AJIO Sports Carnival"/>
    <x v="1"/>
    <x v="3"/>
    <x v="1"/>
    <s v="Website"/>
    <x v="2"/>
    <x v="2"/>
    <n v="5"/>
    <n v="1401"/>
    <n v="7005"/>
    <n v="25"/>
    <n v="1751"/>
    <n v="5254"/>
    <n v="2784"/>
    <n v="2470"/>
    <n v="0"/>
    <n v="0"/>
    <n v="2.8"/>
  </r>
  <r>
    <s v="ORD00248"/>
    <x v="8"/>
    <x v="196"/>
    <s v="AJIO Luxury Week"/>
    <x v="1"/>
    <x v="0"/>
    <x v="4"/>
    <s v="Mobile Web"/>
    <x v="2"/>
    <x v="2"/>
    <n v="2"/>
    <n v="2675"/>
    <n v="5350"/>
    <n v="30"/>
    <n v="1605"/>
    <n v="3745"/>
    <n v="1755"/>
    <n v="1990"/>
    <n v="0"/>
    <n v="0"/>
    <n v="3.6"/>
  </r>
  <r>
    <s v="ORD00023"/>
    <x v="8"/>
    <x v="197"/>
    <s v="AJIO Mega Brand Sale"/>
    <x v="3"/>
    <x v="4"/>
    <x v="0"/>
    <s v="Mobile Web"/>
    <x v="3"/>
    <x v="0"/>
    <n v="5"/>
    <n v="2159"/>
    <n v="10795"/>
    <n v="20"/>
    <n v="2159"/>
    <n v="8636"/>
    <n v="4873"/>
    <n v="3763"/>
    <n v="0"/>
    <n v="0"/>
    <n v="2.5"/>
  </r>
  <r>
    <s v="ORD00424"/>
    <x v="8"/>
    <x v="197"/>
    <s v="AJIO Big Bold Sale"/>
    <x v="5"/>
    <x v="4"/>
    <x v="3"/>
    <s v="Website"/>
    <x v="1"/>
    <x v="2"/>
    <n v="3"/>
    <n v="3566"/>
    <n v="10698"/>
    <n v="0"/>
    <n v="0"/>
    <n v="10698"/>
    <n v="5821"/>
    <n v="4877"/>
    <n v="0"/>
    <n v="0"/>
    <n v="3.1"/>
  </r>
  <r>
    <s v="ORD00164"/>
    <x v="8"/>
    <x v="198"/>
    <s v="AJIO Big Bold Sale"/>
    <x v="1"/>
    <x v="5"/>
    <x v="3"/>
    <s v="Website"/>
    <x v="3"/>
    <x v="0"/>
    <n v="13"/>
    <n v="828"/>
    <n v="10764"/>
    <n v="10"/>
    <n v="1076"/>
    <n v="9688"/>
    <n v="6130"/>
    <n v="3558"/>
    <n v="2"/>
    <n v="1490"/>
    <n v="4.3"/>
  </r>
  <r>
    <s v="ORD00448"/>
    <x v="8"/>
    <x v="198"/>
    <s v="AJIO Mega Brand Sale"/>
    <x v="2"/>
    <x v="3"/>
    <x v="3"/>
    <s v="App"/>
    <x v="2"/>
    <x v="2"/>
    <n v="12"/>
    <n v="4902"/>
    <n v="58824"/>
    <n v="50"/>
    <n v="29412"/>
    <n v="29412"/>
    <n v="20494"/>
    <n v="8918"/>
    <n v="3"/>
    <n v="7353"/>
    <n v="4.3"/>
  </r>
  <r>
    <s v="ORD00157"/>
    <x v="8"/>
    <x v="199"/>
    <s v="AJIO End of Season"/>
    <x v="1"/>
    <x v="0"/>
    <x v="0"/>
    <s v="Website"/>
    <x v="1"/>
    <x v="1"/>
    <n v="9"/>
    <n v="1964"/>
    <n v="17676"/>
    <n v="20"/>
    <n v="3535"/>
    <n v="14141"/>
    <n v="8520"/>
    <n v="5621"/>
    <n v="0"/>
    <n v="0"/>
    <n v="4.9000000000000004"/>
  </r>
  <r>
    <s v="ORD00262"/>
    <x v="8"/>
    <x v="199"/>
    <s v="AJIO Luxury Week"/>
    <x v="1"/>
    <x v="9"/>
    <x v="1"/>
    <s v="Mobile Web"/>
    <x v="4"/>
    <x v="0"/>
    <n v="6"/>
    <n v="3669"/>
    <n v="22014"/>
    <n v="25"/>
    <n v="5504"/>
    <n v="16510"/>
    <n v="7675"/>
    <n v="8835"/>
    <n v="0"/>
    <n v="0"/>
    <n v="4"/>
  </r>
  <r>
    <s v="ORD00010"/>
    <x v="8"/>
    <x v="200"/>
    <s v="AJIO New Year Blowout"/>
    <x v="3"/>
    <x v="2"/>
    <x v="2"/>
    <s v="Mobile Web"/>
    <x v="2"/>
    <x v="2"/>
    <n v="15"/>
    <n v="2823"/>
    <n v="42345"/>
    <n v="20"/>
    <n v="8469"/>
    <n v="33876"/>
    <n v="21753"/>
    <n v="12123"/>
    <n v="2"/>
    <n v="4517"/>
    <n v="2.8"/>
  </r>
  <r>
    <s v="ORD00079"/>
    <x v="8"/>
    <x v="201"/>
    <s v="AJIO Summer Splash"/>
    <x v="1"/>
    <x v="8"/>
    <x v="0"/>
    <s v="App"/>
    <x v="4"/>
    <x v="0"/>
    <n v="10"/>
    <n v="4392"/>
    <n v="43920"/>
    <n v="15"/>
    <n v="6588"/>
    <n v="37332"/>
    <n v="21444"/>
    <n v="15888"/>
    <n v="2"/>
    <n v="7466"/>
    <n v="2.9"/>
  </r>
  <r>
    <s v="ORD00299"/>
    <x v="8"/>
    <x v="201"/>
    <s v="AJIO End of Season"/>
    <x v="2"/>
    <x v="9"/>
    <x v="2"/>
    <s v="Mobile Web"/>
    <x v="4"/>
    <x v="0"/>
    <n v="12"/>
    <n v="4421"/>
    <n v="53052"/>
    <n v="20"/>
    <n v="10610"/>
    <n v="42442"/>
    <n v="20467"/>
    <n v="21975"/>
    <n v="3"/>
    <n v="10610"/>
    <n v="3.8"/>
  </r>
  <r>
    <s v="ORD00333"/>
    <x v="8"/>
    <x v="201"/>
    <s v="AJIO Fashion Fiesta"/>
    <x v="1"/>
    <x v="2"/>
    <x v="2"/>
    <s v="App"/>
    <x v="3"/>
    <x v="1"/>
    <n v="4"/>
    <n v="4550"/>
    <n v="18200"/>
    <n v="15"/>
    <n v="2730"/>
    <n v="15470"/>
    <n v="10670"/>
    <n v="4800"/>
    <n v="1"/>
    <n v="3868"/>
    <n v="3.5"/>
  </r>
  <r>
    <s v="ORD00486"/>
    <x v="8"/>
    <x v="201"/>
    <s v="AJIO End of Season"/>
    <x v="4"/>
    <x v="9"/>
    <x v="2"/>
    <s v="Mobile Web"/>
    <x v="3"/>
    <x v="1"/>
    <n v="10"/>
    <n v="4614"/>
    <n v="46140"/>
    <n v="20"/>
    <n v="9228"/>
    <n v="36912"/>
    <n v="19701"/>
    <n v="17211"/>
    <n v="1"/>
    <n v="3691"/>
    <n v="4.5"/>
  </r>
  <r>
    <s v="ORD00391"/>
    <x v="9"/>
    <x v="202"/>
    <s v="AJIO Back to Campus"/>
    <x v="6"/>
    <x v="7"/>
    <x v="4"/>
    <s v="Website"/>
    <x v="2"/>
    <x v="1"/>
    <n v="13"/>
    <n v="1676"/>
    <n v="21788"/>
    <n v="15"/>
    <n v="3268"/>
    <n v="18520"/>
    <n v="12023"/>
    <n v="6497"/>
    <n v="2"/>
    <n v="2849"/>
    <n v="3"/>
  </r>
  <r>
    <s v="ORD00479"/>
    <x v="9"/>
    <x v="202"/>
    <s v="AJIO Big Bold Sale"/>
    <x v="5"/>
    <x v="9"/>
    <x v="4"/>
    <s v="Website"/>
    <x v="1"/>
    <x v="1"/>
    <n v="10"/>
    <n v="3748"/>
    <n v="37480"/>
    <n v="30"/>
    <n v="11244"/>
    <n v="26236"/>
    <n v="14121"/>
    <n v="12115"/>
    <n v="1"/>
    <n v="2624"/>
    <n v="3.2"/>
  </r>
  <r>
    <s v="ORD00341"/>
    <x v="9"/>
    <x v="203"/>
    <s v="AJIO End of Season"/>
    <x v="0"/>
    <x v="1"/>
    <x v="1"/>
    <s v="App"/>
    <x v="3"/>
    <x v="0"/>
    <n v="7"/>
    <n v="4555"/>
    <n v="31885"/>
    <n v="50"/>
    <n v="15942"/>
    <n v="15943"/>
    <n v="7742"/>
    <n v="8201"/>
    <n v="0"/>
    <n v="0"/>
    <n v="3.1"/>
  </r>
  <r>
    <s v="ORD00012"/>
    <x v="9"/>
    <x v="204"/>
    <s v="AJIO Sports Carnival"/>
    <x v="5"/>
    <x v="2"/>
    <x v="2"/>
    <s v="Mobile Web"/>
    <x v="3"/>
    <x v="1"/>
    <n v="1"/>
    <n v="825"/>
    <n v="825"/>
    <n v="25"/>
    <n v="206"/>
    <n v="619"/>
    <n v="415"/>
    <n v="204"/>
    <n v="1"/>
    <n v="619"/>
    <n v="3.1"/>
  </r>
  <r>
    <s v="ORD00177"/>
    <x v="9"/>
    <x v="204"/>
    <s v="AJIO Luxury Week"/>
    <x v="2"/>
    <x v="9"/>
    <x v="0"/>
    <s v="Mobile Web"/>
    <x v="3"/>
    <x v="0"/>
    <n v="14"/>
    <n v="4606"/>
    <n v="64484"/>
    <n v="25"/>
    <n v="16121"/>
    <n v="48363"/>
    <n v="28745"/>
    <n v="19618"/>
    <n v="2"/>
    <n v="6909"/>
    <n v="3.1"/>
  </r>
  <r>
    <s v="ORD00495"/>
    <x v="9"/>
    <x v="204"/>
    <s v="AJIO Fashion Fiesta"/>
    <x v="2"/>
    <x v="9"/>
    <x v="4"/>
    <s v="Mobile Web"/>
    <x v="0"/>
    <x v="0"/>
    <n v="10"/>
    <n v="2815"/>
    <n v="28150"/>
    <n v="25"/>
    <n v="7038"/>
    <n v="21112"/>
    <n v="11260"/>
    <n v="9852"/>
    <n v="1"/>
    <n v="2111"/>
    <n v="3.5"/>
  </r>
  <r>
    <s v="ORD00498"/>
    <x v="9"/>
    <x v="204"/>
    <s v="AJIO Sports Carnival"/>
    <x v="4"/>
    <x v="4"/>
    <x v="4"/>
    <s v="Mobile Web"/>
    <x v="0"/>
    <x v="0"/>
    <n v="1"/>
    <n v="1894"/>
    <n v="1894"/>
    <n v="25"/>
    <n v="474"/>
    <n v="1420"/>
    <n v="919"/>
    <n v="501"/>
    <n v="0"/>
    <n v="0"/>
    <n v="3.5"/>
  </r>
  <r>
    <s v="ORD00220"/>
    <x v="9"/>
    <x v="205"/>
    <s v="AJIO Festive Rush"/>
    <x v="5"/>
    <x v="9"/>
    <x v="4"/>
    <s v="Mobile Web"/>
    <x v="4"/>
    <x v="1"/>
    <n v="2"/>
    <n v="3758"/>
    <n v="7516"/>
    <n v="15"/>
    <n v="1127"/>
    <n v="6389"/>
    <n v="3351"/>
    <n v="3038"/>
    <n v="0"/>
    <n v="0"/>
    <n v="3.6"/>
  </r>
  <r>
    <s v="ORD00025"/>
    <x v="9"/>
    <x v="206"/>
    <s v="AJIO Luxury Week"/>
    <x v="4"/>
    <x v="4"/>
    <x v="3"/>
    <s v="Mobile Web"/>
    <x v="1"/>
    <x v="0"/>
    <n v="11"/>
    <n v="4139"/>
    <n v="45529"/>
    <n v="20"/>
    <n v="9106"/>
    <n v="36423"/>
    <n v="24875"/>
    <n v="11548"/>
    <n v="0"/>
    <n v="0"/>
    <n v="4.8"/>
  </r>
  <r>
    <s v="ORD00193"/>
    <x v="9"/>
    <x v="206"/>
    <s v="AJIO Sports Carnival"/>
    <x v="0"/>
    <x v="9"/>
    <x v="0"/>
    <s v="Website"/>
    <x v="2"/>
    <x v="0"/>
    <n v="10"/>
    <n v="977"/>
    <n v="9770"/>
    <n v="30"/>
    <n v="2931"/>
    <n v="6839"/>
    <n v="4666"/>
    <n v="2173"/>
    <n v="1"/>
    <n v="684"/>
    <n v="2.9"/>
  </r>
  <r>
    <s v="ORD00246"/>
    <x v="9"/>
    <x v="207"/>
    <s v="AJIO New Year Blowout"/>
    <x v="5"/>
    <x v="3"/>
    <x v="0"/>
    <s v="App"/>
    <x v="0"/>
    <x v="0"/>
    <n v="4"/>
    <n v="2844"/>
    <n v="11376"/>
    <n v="0"/>
    <n v="0"/>
    <n v="11376"/>
    <n v="7824"/>
    <n v="3552"/>
    <n v="0"/>
    <n v="0"/>
    <n v="4.4000000000000004"/>
  </r>
  <r>
    <s v="ORD00340"/>
    <x v="9"/>
    <x v="207"/>
    <s v="AJIO New Year Blowout"/>
    <x v="3"/>
    <x v="5"/>
    <x v="1"/>
    <s v="Mobile Web"/>
    <x v="3"/>
    <x v="0"/>
    <n v="9"/>
    <n v="4410"/>
    <n v="39690"/>
    <n v="10"/>
    <n v="3969"/>
    <n v="35721"/>
    <n v="17175"/>
    <n v="18546"/>
    <n v="0"/>
    <n v="0"/>
    <n v="3.9"/>
  </r>
  <r>
    <s v="ORD00412"/>
    <x v="9"/>
    <x v="207"/>
    <s v="AJIO Mega Brand Sale"/>
    <x v="2"/>
    <x v="6"/>
    <x v="3"/>
    <s v="Mobile Web"/>
    <x v="3"/>
    <x v="1"/>
    <n v="8"/>
    <n v="2402"/>
    <n v="19216"/>
    <n v="30"/>
    <n v="5765"/>
    <n v="13451"/>
    <n v="6054"/>
    <n v="7397"/>
    <n v="0"/>
    <n v="0"/>
    <n v="5"/>
  </r>
  <r>
    <s v="ORD00096"/>
    <x v="9"/>
    <x v="208"/>
    <s v="AJIO Back to Campus"/>
    <x v="4"/>
    <x v="0"/>
    <x v="4"/>
    <s v="Mobile Web"/>
    <x v="1"/>
    <x v="1"/>
    <n v="8"/>
    <n v="2675"/>
    <n v="21400"/>
    <n v="30"/>
    <n v="6420"/>
    <n v="14980"/>
    <n v="7112"/>
    <n v="7868"/>
    <n v="2"/>
    <n v="3745"/>
    <n v="2.8"/>
  </r>
  <r>
    <s v="ORD00378"/>
    <x v="9"/>
    <x v="208"/>
    <s v="AJIO New Year Blowout"/>
    <x v="3"/>
    <x v="3"/>
    <x v="1"/>
    <s v="Website"/>
    <x v="1"/>
    <x v="1"/>
    <n v="6"/>
    <n v="1163"/>
    <n v="6978"/>
    <n v="30"/>
    <n v="2093"/>
    <n v="4885"/>
    <n v="2455"/>
    <n v="2430"/>
    <n v="1"/>
    <n v="814"/>
    <n v="3.4"/>
  </r>
  <r>
    <s v="ORD00068"/>
    <x v="9"/>
    <x v="209"/>
    <s v="AJIO Back to Campus"/>
    <x v="6"/>
    <x v="7"/>
    <x v="2"/>
    <s v="Website"/>
    <x v="3"/>
    <x v="1"/>
    <n v="2"/>
    <n v="4859"/>
    <n v="9718"/>
    <n v="30"/>
    <n v="2915"/>
    <n v="6803"/>
    <n v="4532"/>
    <n v="2271"/>
    <n v="0"/>
    <n v="0"/>
    <n v="4.0999999999999996"/>
  </r>
  <r>
    <s v="ORD00369"/>
    <x v="9"/>
    <x v="209"/>
    <s v="AJIO End of Season"/>
    <x v="3"/>
    <x v="2"/>
    <x v="3"/>
    <s v="Website"/>
    <x v="3"/>
    <x v="1"/>
    <n v="4"/>
    <n v="3149"/>
    <n v="12596"/>
    <n v="15"/>
    <n v="1889"/>
    <n v="10707"/>
    <n v="6035"/>
    <n v="4672"/>
    <n v="1"/>
    <n v="2677"/>
    <n v="3.9"/>
  </r>
  <r>
    <s v="ORD00398"/>
    <x v="9"/>
    <x v="209"/>
    <s v="AJIO Festive Rush"/>
    <x v="0"/>
    <x v="1"/>
    <x v="1"/>
    <s v="Website"/>
    <x v="3"/>
    <x v="0"/>
    <n v="6"/>
    <n v="4470"/>
    <n v="26820"/>
    <n v="15"/>
    <n v="4023"/>
    <n v="22797"/>
    <n v="15806"/>
    <n v="6991"/>
    <n v="0"/>
    <n v="0"/>
    <n v="4.0999999999999996"/>
  </r>
  <r>
    <s v="ORD00028"/>
    <x v="9"/>
    <x v="210"/>
    <s v="AJIO Luxury Week"/>
    <x v="4"/>
    <x v="6"/>
    <x v="3"/>
    <s v="App"/>
    <x v="2"/>
    <x v="0"/>
    <n v="15"/>
    <n v="3547"/>
    <n v="53205"/>
    <n v="10"/>
    <n v="5320"/>
    <n v="47885"/>
    <n v="28080"/>
    <n v="19805"/>
    <n v="2"/>
    <n v="6385"/>
    <n v="4"/>
  </r>
  <r>
    <s v="ORD00328"/>
    <x v="9"/>
    <x v="210"/>
    <s v="AJIO Sports Carnival"/>
    <x v="6"/>
    <x v="9"/>
    <x v="1"/>
    <s v="App"/>
    <x v="1"/>
    <x v="1"/>
    <n v="14"/>
    <n v="1359"/>
    <n v="19026"/>
    <n v="25"/>
    <n v="4756"/>
    <n v="14270"/>
    <n v="9115"/>
    <n v="5155"/>
    <n v="1"/>
    <n v="1019"/>
    <n v="4.4000000000000004"/>
  </r>
  <r>
    <s v="ORD00405"/>
    <x v="9"/>
    <x v="210"/>
    <s v="AJIO Luxury Week"/>
    <x v="2"/>
    <x v="8"/>
    <x v="1"/>
    <s v="Website"/>
    <x v="0"/>
    <x v="2"/>
    <n v="6"/>
    <n v="818"/>
    <n v="4908"/>
    <n v="50"/>
    <n v="2454"/>
    <n v="2454"/>
    <n v="1509"/>
    <n v="945"/>
    <n v="0"/>
    <n v="0"/>
    <n v="4.5999999999999996"/>
  </r>
  <r>
    <s v="ORD00015"/>
    <x v="9"/>
    <x v="211"/>
    <s v="AJIO Sports Carnival"/>
    <x v="2"/>
    <x v="8"/>
    <x v="0"/>
    <s v="App"/>
    <x v="2"/>
    <x v="2"/>
    <n v="11"/>
    <n v="576"/>
    <n v="6336"/>
    <n v="5"/>
    <n v="317"/>
    <n v="6019"/>
    <n v="4071"/>
    <n v="1948"/>
    <n v="1"/>
    <n v="547"/>
    <n v="2.7"/>
  </r>
  <r>
    <s v="ORD00121"/>
    <x v="9"/>
    <x v="211"/>
    <s v="AJIO Sports Carnival"/>
    <x v="6"/>
    <x v="2"/>
    <x v="2"/>
    <s v="Website"/>
    <x v="2"/>
    <x v="0"/>
    <n v="5"/>
    <n v="2411"/>
    <n v="12055"/>
    <n v="50"/>
    <n v="6028"/>
    <n v="6027"/>
    <n v="2934"/>
    <n v="3093"/>
    <n v="1"/>
    <n v="1206"/>
    <n v="2.7"/>
  </r>
  <r>
    <s v="ORD00321"/>
    <x v="9"/>
    <x v="211"/>
    <s v="AJIO Festive Rush"/>
    <x v="1"/>
    <x v="8"/>
    <x v="4"/>
    <s v="Mobile Web"/>
    <x v="4"/>
    <x v="2"/>
    <n v="10"/>
    <n v="1115"/>
    <n v="11150"/>
    <n v="10"/>
    <n v="1115"/>
    <n v="10035"/>
    <n v="4776"/>
    <n v="5259"/>
    <n v="2"/>
    <n v="2007"/>
    <n v="4"/>
  </r>
  <r>
    <s v="ORD00414"/>
    <x v="9"/>
    <x v="212"/>
    <s v="AJIO End of Season"/>
    <x v="0"/>
    <x v="8"/>
    <x v="0"/>
    <s v="App"/>
    <x v="2"/>
    <x v="1"/>
    <n v="6"/>
    <n v="1033"/>
    <n v="6198"/>
    <n v="20"/>
    <n v="1240"/>
    <n v="4958"/>
    <n v="2686"/>
    <n v="2272"/>
    <n v="0"/>
    <n v="0"/>
    <n v="3.1"/>
  </r>
  <r>
    <s v="ORD00474"/>
    <x v="9"/>
    <x v="212"/>
    <s v="AJIO Summer Splash"/>
    <x v="1"/>
    <x v="0"/>
    <x v="4"/>
    <s v="App"/>
    <x v="3"/>
    <x v="2"/>
    <n v="3"/>
    <n v="930"/>
    <n v="2790"/>
    <n v="5"/>
    <n v="140"/>
    <n v="2650"/>
    <n v="1622"/>
    <n v="1028"/>
    <n v="0"/>
    <n v="0"/>
    <n v="4.3"/>
  </r>
  <r>
    <s v="ORD00086"/>
    <x v="9"/>
    <x v="213"/>
    <s v="AJIO Sports Carnival"/>
    <x v="3"/>
    <x v="1"/>
    <x v="4"/>
    <s v="App"/>
    <x v="3"/>
    <x v="2"/>
    <n v="2"/>
    <n v="2436"/>
    <n v="4872"/>
    <n v="20"/>
    <n v="974"/>
    <n v="3898"/>
    <n v="2324"/>
    <n v="1574"/>
    <n v="1"/>
    <n v="1949"/>
    <n v="2.8"/>
  </r>
  <r>
    <s v="ORD00158"/>
    <x v="9"/>
    <x v="213"/>
    <s v="AJIO Mega Brand Sale"/>
    <x v="3"/>
    <x v="3"/>
    <x v="1"/>
    <s v="Website"/>
    <x v="4"/>
    <x v="2"/>
    <n v="12"/>
    <n v="2597"/>
    <n v="31164"/>
    <n v="40"/>
    <n v="12466"/>
    <n v="18698"/>
    <n v="10045"/>
    <n v="8653"/>
    <n v="2"/>
    <n v="3116"/>
    <n v="3.2"/>
  </r>
  <r>
    <s v="ORD00099"/>
    <x v="9"/>
    <x v="214"/>
    <s v="AJIO Summer Splash"/>
    <x v="3"/>
    <x v="1"/>
    <x v="4"/>
    <s v="Website"/>
    <x v="0"/>
    <x v="2"/>
    <n v="1"/>
    <n v="4850"/>
    <n v="4850"/>
    <n v="20"/>
    <n v="970"/>
    <n v="3880"/>
    <n v="2087"/>
    <n v="1793"/>
    <n v="0"/>
    <n v="0"/>
    <n v="2.9"/>
  </r>
  <r>
    <s v="ORD00024"/>
    <x v="9"/>
    <x v="215"/>
    <s v="AJIO Summer Splash"/>
    <x v="6"/>
    <x v="1"/>
    <x v="3"/>
    <s v="App"/>
    <x v="1"/>
    <x v="1"/>
    <n v="3"/>
    <n v="4685"/>
    <n v="14055"/>
    <n v="5"/>
    <n v="703"/>
    <n v="13352"/>
    <n v="8943"/>
    <n v="4409"/>
    <n v="1"/>
    <n v="4451"/>
    <n v="3.2"/>
  </r>
  <r>
    <s v="ORD00046"/>
    <x v="9"/>
    <x v="215"/>
    <s v="AJIO Festive Rush"/>
    <x v="4"/>
    <x v="9"/>
    <x v="2"/>
    <s v="Mobile Web"/>
    <x v="0"/>
    <x v="0"/>
    <n v="14"/>
    <n v="2469"/>
    <n v="34566"/>
    <n v="0"/>
    <n v="0"/>
    <n v="34566"/>
    <n v="17803"/>
    <n v="16763"/>
    <n v="2"/>
    <n v="4938"/>
    <n v="3"/>
  </r>
  <r>
    <s v="ORD00170"/>
    <x v="9"/>
    <x v="215"/>
    <s v="AJIO Sports Carnival"/>
    <x v="6"/>
    <x v="9"/>
    <x v="3"/>
    <s v="Mobile Web"/>
    <x v="4"/>
    <x v="2"/>
    <n v="9"/>
    <n v="1003"/>
    <n v="9027"/>
    <n v="25"/>
    <n v="2257"/>
    <n v="6770"/>
    <n v="4493"/>
    <n v="2277"/>
    <n v="1"/>
    <n v="752"/>
    <n v="2.8"/>
  </r>
  <r>
    <s v="ORD00192"/>
    <x v="9"/>
    <x v="216"/>
    <s v="AJIO End of Season"/>
    <x v="5"/>
    <x v="1"/>
    <x v="3"/>
    <s v="App"/>
    <x v="4"/>
    <x v="0"/>
    <n v="15"/>
    <n v="4379"/>
    <n v="65685"/>
    <n v="40"/>
    <n v="26274"/>
    <n v="39411"/>
    <n v="20406"/>
    <n v="19005"/>
    <n v="0"/>
    <n v="0"/>
    <n v="4.2"/>
  </r>
  <r>
    <s v="ORD00013"/>
    <x v="9"/>
    <x v="217"/>
    <s v="AJIO Back to Campus"/>
    <x v="6"/>
    <x v="1"/>
    <x v="4"/>
    <s v="App"/>
    <x v="1"/>
    <x v="0"/>
    <n v="3"/>
    <n v="3400"/>
    <n v="10200"/>
    <n v="50"/>
    <n v="5100"/>
    <n v="5100"/>
    <n v="2506"/>
    <n v="2594"/>
    <n v="1"/>
    <n v="1700"/>
    <n v="4.9000000000000004"/>
  </r>
  <r>
    <s v="ORD00194"/>
    <x v="9"/>
    <x v="217"/>
    <s v="AJIO New Year Blowout"/>
    <x v="5"/>
    <x v="6"/>
    <x v="3"/>
    <s v="Website"/>
    <x v="0"/>
    <x v="2"/>
    <n v="3"/>
    <n v="4014"/>
    <n v="12042"/>
    <n v="5"/>
    <n v="602"/>
    <n v="11440"/>
    <n v="6580"/>
    <n v="4860"/>
    <n v="1"/>
    <n v="3813"/>
    <n v="2.6"/>
  </r>
  <r>
    <s v="ORD00261"/>
    <x v="9"/>
    <x v="217"/>
    <s v="AJIO Big Bold Sale"/>
    <x v="0"/>
    <x v="5"/>
    <x v="3"/>
    <s v="App"/>
    <x v="0"/>
    <x v="2"/>
    <n v="5"/>
    <n v="1124"/>
    <n v="5620"/>
    <n v="0"/>
    <n v="0"/>
    <n v="5620"/>
    <n v="2656"/>
    <n v="2964"/>
    <n v="0"/>
    <n v="0"/>
    <n v="4"/>
  </r>
  <r>
    <s v="ORD00464"/>
    <x v="9"/>
    <x v="217"/>
    <s v="AJIO Mega Brand Sale"/>
    <x v="2"/>
    <x v="1"/>
    <x v="4"/>
    <s v="App"/>
    <x v="0"/>
    <x v="1"/>
    <n v="11"/>
    <n v="3328"/>
    <n v="36608"/>
    <n v="40"/>
    <n v="14643"/>
    <n v="21965"/>
    <n v="12468"/>
    <n v="9497"/>
    <n v="0"/>
    <n v="0"/>
    <n v="2.9"/>
  </r>
  <r>
    <s v="ORD00260"/>
    <x v="9"/>
    <x v="218"/>
    <s v="AJIO Festive Rush"/>
    <x v="5"/>
    <x v="6"/>
    <x v="1"/>
    <s v="App"/>
    <x v="4"/>
    <x v="0"/>
    <n v="10"/>
    <n v="1794"/>
    <n v="17940"/>
    <n v="25"/>
    <n v="4485"/>
    <n v="13455"/>
    <n v="9129"/>
    <n v="4326"/>
    <n v="0"/>
    <n v="0"/>
    <n v="4.3"/>
  </r>
  <r>
    <s v="ORD00312"/>
    <x v="9"/>
    <x v="219"/>
    <s v="AJIO Festive Rush"/>
    <x v="4"/>
    <x v="8"/>
    <x v="0"/>
    <s v="Mobile Web"/>
    <x v="3"/>
    <x v="2"/>
    <n v="9"/>
    <n v="3534"/>
    <n v="31806"/>
    <n v="5"/>
    <n v="1590"/>
    <n v="30216"/>
    <n v="16867"/>
    <n v="13349"/>
    <n v="2"/>
    <n v="6715"/>
    <n v="3.1"/>
  </r>
  <r>
    <s v="ORD00477"/>
    <x v="9"/>
    <x v="219"/>
    <s v="AJIO Back to Campus"/>
    <x v="3"/>
    <x v="9"/>
    <x v="2"/>
    <s v="Mobile Web"/>
    <x v="0"/>
    <x v="2"/>
    <n v="6"/>
    <n v="831"/>
    <n v="4986"/>
    <n v="40"/>
    <n v="1994"/>
    <n v="2992"/>
    <n v="2066"/>
    <n v="926"/>
    <n v="0"/>
    <n v="0"/>
    <n v="2.9"/>
  </r>
  <r>
    <s v="ORD00110"/>
    <x v="9"/>
    <x v="220"/>
    <s v="AJIO Festive Rush"/>
    <x v="1"/>
    <x v="8"/>
    <x v="3"/>
    <s v="Website"/>
    <x v="3"/>
    <x v="0"/>
    <n v="8"/>
    <n v="620"/>
    <n v="4960"/>
    <n v="40"/>
    <n v="1984"/>
    <n v="2976"/>
    <n v="1809"/>
    <n v="1167"/>
    <n v="1"/>
    <n v="372"/>
    <n v="4"/>
  </r>
  <r>
    <s v="ORD00347"/>
    <x v="9"/>
    <x v="221"/>
    <s v="AJIO Sports Carnival"/>
    <x v="0"/>
    <x v="6"/>
    <x v="3"/>
    <s v="App"/>
    <x v="2"/>
    <x v="2"/>
    <n v="5"/>
    <n v="2853"/>
    <n v="14265"/>
    <n v="50"/>
    <n v="7132"/>
    <n v="7133"/>
    <n v="4052"/>
    <n v="3081"/>
    <n v="0"/>
    <n v="0"/>
    <n v="3.4"/>
  </r>
  <r>
    <s v="ORD00167"/>
    <x v="9"/>
    <x v="222"/>
    <s v="AJIO Back to Campus"/>
    <x v="4"/>
    <x v="8"/>
    <x v="2"/>
    <s v="Website"/>
    <x v="3"/>
    <x v="2"/>
    <n v="4"/>
    <n v="591"/>
    <n v="2364"/>
    <n v="5"/>
    <n v="118"/>
    <n v="2246"/>
    <n v="1272"/>
    <n v="974"/>
    <n v="0"/>
    <n v="0"/>
    <n v="3.5"/>
  </r>
  <r>
    <s v="ORD00171"/>
    <x v="9"/>
    <x v="222"/>
    <s v="AJIO End of Season"/>
    <x v="1"/>
    <x v="1"/>
    <x v="3"/>
    <s v="Website"/>
    <x v="2"/>
    <x v="1"/>
    <n v="3"/>
    <n v="2711"/>
    <n v="8133"/>
    <n v="40"/>
    <n v="3253"/>
    <n v="4880"/>
    <n v="2884"/>
    <n v="1996"/>
    <n v="1"/>
    <n v="1627"/>
    <n v="4.2"/>
  </r>
  <r>
    <s v="ORD00254"/>
    <x v="9"/>
    <x v="222"/>
    <s v="AJIO Summer Splash"/>
    <x v="0"/>
    <x v="4"/>
    <x v="2"/>
    <s v="App"/>
    <x v="2"/>
    <x v="0"/>
    <n v="15"/>
    <n v="3335"/>
    <n v="50025"/>
    <n v="10"/>
    <n v="5002"/>
    <n v="45023"/>
    <n v="21296"/>
    <n v="23727"/>
    <n v="2"/>
    <n v="6003"/>
    <n v="2.8"/>
  </r>
  <r>
    <s v="ORD00330"/>
    <x v="9"/>
    <x v="223"/>
    <s v="AJIO Mega Brand Sale"/>
    <x v="5"/>
    <x v="4"/>
    <x v="2"/>
    <s v="Website"/>
    <x v="0"/>
    <x v="2"/>
    <n v="15"/>
    <n v="1027"/>
    <n v="15405"/>
    <n v="10"/>
    <n v="1540"/>
    <n v="13865"/>
    <n v="9458"/>
    <n v="4407"/>
    <n v="0"/>
    <n v="0"/>
    <n v="4.4000000000000004"/>
  </r>
  <r>
    <s v="ORD00066"/>
    <x v="9"/>
    <x v="224"/>
    <s v="AJIO Summer Splash"/>
    <x v="6"/>
    <x v="4"/>
    <x v="3"/>
    <s v="App"/>
    <x v="4"/>
    <x v="1"/>
    <n v="9"/>
    <n v="3361"/>
    <n v="30249"/>
    <n v="20"/>
    <n v="6050"/>
    <n v="24199"/>
    <n v="11988"/>
    <n v="12211"/>
    <n v="2"/>
    <n v="5378"/>
    <n v="3.6"/>
  </r>
  <r>
    <s v="ORD00238"/>
    <x v="9"/>
    <x v="224"/>
    <s v="AJIO Mega Brand Sale"/>
    <x v="4"/>
    <x v="1"/>
    <x v="1"/>
    <s v="Mobile Web"/>
    <x v="0"/>
    <x v="2"/>
    <n v="14"/>
    <n v="1421"/>
    <n v="19894"/>
    <n v="15"/>
    <n v="2984"/>
    <n v="16910"/>
    <n v="7974"/>
    <n v="8936"/>
    <n v="3"/>
    <n v="3624"/>
    <n v="2.8"/>
  </r>
  <r>
    <s v="ORD00275"/>
    <x v="9"/>
    <x v="225"/>
    <s v="AJIO Fashion Fiesta"/>
    <x v="2"/>
    <x v="2"/>
    <x v="2"/>
    <s v="Website"/>
    <x v="1"/>
    <x v="1"/>
    <n v="9"/>
    <n v="3528"/>
    <n v="31752"/>
    <n v="40"/>
    <n v="12701"/>
    <n v="19051"/>
    <n v="11301"/>
    <n v="7750"/>
    <n v="0"/>
    <n v="0"/>
    <n v="3.7"/>
  </r>
  <r>
    <s v="ORD00348"/>
    <x v="9"/>
    <x v="225"/>
    <s v="AJIO Mega Brand Sale"/>
    <x v="4"/>
    <x v="4"/>
    <x v="0"/>
    <s v="Website"/>
    <x v="1"/>
    <x v="2"/>
    <n v="2"/>
    <n v="2164"/>
    <n v="4328"/>
    <n v="50"/>
    <n v="2164"/>
    <n v="2164"/>
    <n v="980"/>
    <n v="1184"/>
    <n v="0"/>
    <n v="0"/>
    <n v="4.5999999999999996"/>
  </r>
  <r>
    <s v="ORD00214"/>
    <x v="10"/>
    <x v="226"/>
    <s v="AJIO Mega Brand Sale"/>
    <x v="1"/>
    <x v="8"/>
    <x v="4"/>
    <s v="Mobile Web"/>
    <x v="2"/>
    <x v="1"/>
    <n v="6"/>
    <n v="4273"/>
    <n v="25638"/>
    <n v="10"/>
    <n v="2564"/>
    <n v="23074"/>
    <n v="15077"/>
    <n v="7997"/>
    <n v="1"/>
    <n v="3846"/>
    <n v="4.8"/>
  </r>
  <r>
    <s v="ORD00199"/>
    <x v="10"/>
    <x v="227"/>
    <s v="AJIO Luxury Week"/>
    <x v="5"/>
    <x v="0"/>
    <x v="4"/>
    <s v="App"/>
    <x v="3"/>
    <x v="1"/>
    <n v="7"/>
    <n v="3961"/>
    <n v="27727"/>
    <n v="50"/>
    <n v="13864"/>
    <n v="13863"/>
    <n v="9376"/>
    <n v="4487"/>
    <n v="0"/>
    <n v="0"/>
    <n v="3.9"/>
  </r>
  <r>
    <s v="ORD00403"/>
    <x v="10"/>
    <x v="227"/>
    <s v="AJIO Back to Campus"/>
    <x v="5"/>
    <x v="2"/>
    <x v="0"/>
    <s v="App"/>
    <x v="1"/>
    <x v="0"/>
    <n v="8"/>
    <n v="1689"/>
    <n v="13512"/>
    <n v="20"/>
    <n v="2702"/>
    <n v="10810"/>
    <n v="6328"/>
    <n v="4482"/>
    <n v="1"/>
    <n v="1351"/>
    <n v="2.5"/>
  </r>
  <r>
    <s v="ORD00357"/>
    <x v="10"/>
    <x v="228"/>
    <s v="AJIO New Year Blowout"/>
    <x v="2"/>
    <x v="8"/>
    <x v="0"/>
    <s v="Mobile Web"/>
    <x v="1"/>
    <x v="1"/>
    <n v="3"/>
    <n v="3703"/>
    <n v="11109"/>
    <n v="25"/>
    <n v="2777"/>
    <n v="8332"/>
    <n v="5671"/>
    <n v="2661"/>
    <n v="0"/>
    <n v="0"/>
    <n v="3.1"/>
  </r>
  <r>
    <s v="ORD00411"/>
    <x v="10"/>
    <x v="228"/>
    <s v="AJIO Mega Brand Sale"/>
    <x v="1"/>
    <x v="0"/>
    <x v="1"/>
    <s v="Mobile Web"/>
    <x v="3"/>
    <x v="1"/>
    <n v="7"/>
    <n v="3891"/>
    <n v="27237"/>
    <n v="30"/>
    <n v="8171"/>
    <n v="19066"/>
    <n v="12518"/>
    <n v="6548"/>
    <n v="1"/>
    <n v="2724"/>
    <n v="4"/>
  </r>
  <r>
    <s v="ORD00143"/>
    <x v="10"/>
    <x v="229"/>
    <s v="AJIO Big Bold Sale"/>
    <x v="3"/>
    <x v="8"/>
    <x v="2"/>
    <s v="App"/>
    <x v="2"/>
    <x v="0"/>
    <n v="11"/>
    <n v="3923"/>
    <n v="43153"/>
    <n v="20"/>
    <n v="8631"/>
    <n v="34522"/>
    <n v="21154"/>
    <n v="13368"/>
    <n v="2"/>
    <n v="6277"/>
    <n v="3.5"/>
  </r>
  <r>
    <s v="ORD00430"/>
    <x v="10"/>
    <x v="229"/>
    <s v="AJIO Back to Campus"/>
    <x v="3"/>
    <x v="7"/>
    <x v="3"/>
    <s v="App"/>
    <x v="4"/>
    <x v="2"/>
    <n v="3"/>
    <n v="3030"/>
    <n v="9090"/>
    <n v="15"/>
    <n v="1364"/>
    <n v="7726"/>
    <n v="5143"/>
    <n v="2583"/>
    <n v="1"/>
    <n v="2576"/>
    <n v="4.2"/>
  </r>
  <r>
    <s v="ORD00061"/>
    <x v="10"/>
    <x v="230"/>
    <s v="AJIO Fashion Fiesta"/>
    <x v="0"/>
    <x v="8"/>
    <x v="0"/>
    <s v="Mobile Web"/>
    <x v="0"/>
    <x v="1"/>
    <n v="15"/>
    <n v="2380"/>
    <n v="35700"/>
    <n v="30"/>
    <n v="10710"/>
    <n v="24990"/>
    <n v="13153"/>
    <n v="11837"/>
    <n v="0"/>
    <n v="0"/>
    <n v="4"/>
  </r>
  <r>
    <s v="ORD00407"/>
    <x v="10"/>
    <x v="230"/>
    <s v="AJIO New Year Blowout"/>
    <x v="4"/>
    <x v="1"/>
    <x v="2"/>
    <s v="App"/>
    <x v="0"/>
    <x v="0"/>
    <n v="8"/>
    <n v="4064"/>
    <n v="32512"/>
    <n v="0"/>
    <n v="0"/>
    <n v="32512"/>
    <n v="17564"/>
    <n v="14948"/>
    <n v="2"/>
    <n v="8128"/>
    <n v="4.8"/>
  </r>
  <r>
    <s v="ORD00006"/>
    <x v="10"/>
    <x v="231"/>
    <s v="AJIO Big Bold Sale"/>
    <x v="4"/>
    <x v="5"/>
    <x v="3"/>
    <s v="Mobile Web"/>
    <x v="4"/>
    <x v="0"/>
    <n v="8"/>
    <n v="2082"/>
    <n v="16656"/>
    <n v="50"/>
    <n v="8328"/>
    <n v="8328"/>
    <n v="4205"/>
    <n v="4123"/>
    <n v="1"/>
    <n v="1041"/>
    <n v="4.5999999999999996"/>
  </r>
  <r>
    <s v="ORD00239"/>
    <x v="10"/>
    <x v="231"/>
    <s v="AJIO End of Season"/>
    <x v="6"/>
    <x v="4"/>
    <x v="0"/>
    <s v="App"/>
    <x v="2"/>
    <x v="2"/>
    <n v="3"/>
    <n v="3596"/>
    <n v="10788"/>
    <n v="10"/>
    <n v="1079"/>
    <n v="9709"/>
    <n v="5574"/>
    <n v="4135"/>
    <n v="1"/>
    <n v="3236"/>
    <n v="3.8"/>
  </r>
  <r>
    <s v="ORD00290"/>
    <x v="10"/>
    <x v="231"/>
    <s v="AJIO Back to Campus"/>
    <x v="3"/>
    <x v="4"/>
    <x v="2"/>
    <s v="Website"/>
    <x v="2"/>
    <x v="1"/>
    <n v="5"/>
    <n v="3310"/>
    <n v="16550"/>
    <n v="20"/>
    <n v="3310"/>
    <n v="13240"/>
    <n v="6822"/>
    <n v="6418"/>
    <n v="1"/>
    <n v="2648"/>
    <n v="3"/>
  </r>
  <r>
    <s v="ORD00366"/>
    <x v="10"/>
    <x v="231"/>
    <s v="AJIO Summer Splash"/>
    <x v="6"/>
    <x v="6"/>
    <x v="4"/>
    <s v="Mobile Web"/>
    <x v="1"/>
    <x v="1"/>
    <n v="12"/>
    <n v="4828"/>
    <n v="57936"/>
    <n v="0"/>
    <n v="0"/>
    <n v="57936"/>
    <n v="39769"/>
    <n v="18167"/>
    <n v="1"/>
    <n v="4828"/>
    <n v="4.0999999999999996"/>
  </r>
  <r>
    <s v="ORD00436"/>
    <x v="10"/>
    <x v="231"/>
    <s v="AJIO Back to Campus"/>
    <x v="4"/>
    <x v="6"/>
    <x v="1"/>
    <s v="Website"/>
    <x v="1"/>
    <x v="2"/>
    <n v="10"/>
    <n v="3090"/>
    <n v="30900"/>
    <n v="50"/>
    <n v="15450"/>
    <n v="15450"/>
    <n v="9430"/>
    <n v="6020"/>
    <n v="2"/>
    <n v="3090"/>
    <n v="4.5"/>
  </r>
  <r>
    <s v="ORD00041"/>
    <x v="10"/>
    <x v="232"/>
    <s v="AJIO End of Season"/>
    <x v="5"/>
    <x v="2"/>
    <x v="4"/>
    <s v="Mobile Web"/>
    <x v="0"/>
    <x v="0"/>
    <n v="12"/>
    <n v="4348"/>
    <n v="52176"/>
    <n v="40"/>
    <n v="20870"/>
    <n v="31306"/>
    <n v="16116"/>
    <n v="15190"/>
    <n v="1"/>
    <n v="2609"/>
    <n v="4.5999999999999996"/>
  </r>
  <r>
    <s v="ORD00176"/>
    <x v="10"/>
    <x v="233"/>
    <s v="AJIO Sports Carnival"/>
    <x v="5"/>
    <x v="9"/>
    <x v="0"/>
    <s v="App"/>
    <x v="2"/>
    <x v="0"/>
    <n v="10"/>
    <n v="457"/>
    <n v="4570"/>
    <n v="0"/>
    <n v="0"/>
    <n v="4570"/>
    <n v="2336"/>
    <n v="2234"/>
    <n v="0"/>
    <n v="0"/>
    <n v="3.5"/>
  </r>
  <r>
    <s v="ORD00365"/>
    <x v="10"/>
    <x v="233"/>
    <s v="AJIO Fashion Fiesta"/>
    <x v="4"/>
    <x v="9"/>
    <x v="0"/>
    <s v="Website"/>
    <x v="2"/>
    <x v="0"/>
    <n v="14"/>
    <n v="982"/>
    <n v="13748"/>
    <n v="30"/>
    <n v="4124"/>
    <n v="9624"/>
    <n v="4543"/>
    <n v="5081"/>
    <n v="2"/>
    <n v="1375"/>
    <n v="3.1"/>
  </r>
  <r>
    <s v="ORD00147"/>
    <x v="10"/>
    <x v="234"/>
    <s v="AJIO End of Season"/>
    <x v="1"/>
    <x v="3"/>
    <x v="0"/>
    <s v="Website"/>
    <x v="1"/>
    <x v="2"/>
    <n v="6"/>
    <n v="1191"/>
    <n v="7146"/>
    <n v="10"/>
    <n v="715"/>
    <n v="6431"/>
    <n v="3695"/>
    <n v="2736"/>
    <n v="1"/>
    <n v="1072"/>
    <n v="3.7"/>
  </r>
  <r>
    <s v="ORD00461"/>
    <x v="10"/>
    <x v="235"/>
    <s v="AJIO Luxury Week"/>
    <x v="0"/>
    <x v="2"/>
    <x v="2"/>
    <s v="App"/>
    <x v="1"/>
    <x v="1"/>
    <n v="9"/>
    <n v="1796"/>
    <n v="16164"/>
    <n v="10"/>
    <n v="1616"/>
    <n v="14548"/>
    <n v="9977"/>
    <n v="4571"/>
    <n v="1"/>
    <n v="1616"/>
    <n v="3.9"/>
  </r>
  <r>
    <s v="ORD00035"/>
    <x v="10"/>
    <x v="236"/>
    <s v="AJIO New Year Blowout"/>
    <x v="3"/>
    <x v="1"/>
    <x v="1"/>
    <s v="Mobile Web"/>
    <x v="3"/>
    <x v="2"/>
    <n v="7"/>
    <n v="1832"/>
    <n v="12824"/>
    <n v="20"/>
    <n v="2565"/>
    <n v="10259"/>
    <n v="6038"/>
    <n v="4221"/>
    <n v="0"/>
    <n v="0"/>
    <n v="3.6"/>
  </r>
  <r>
    <s v="ORD00388"/>
    <x v="10"/>
    <x v="237"/>
    <s v="AJIO Back to Campus"/>
    <x v="2"/>
    <x v="5"/>
    <x v="3"/>
    <s v="App"/>
    <x v="2"/>
    <x v="0"/>
    <n v="11"/>
    <n v="1976"/>
    <n v="21736"/>
    <n v="25"/>
    <n v="5434"/>
    <n v="16302"/>
    <n v="10858"/>
    <n v="5444"/>
    <n v="1"/>
    <n v="1482"/>
    <n v="4.9000000000000004"/>
  </r>
  <r>
    <s v="ORD00241"/>
    <x v="10"/>
    <x v="238"/>
    <s v="AJIO Mega Brand Sale"/>
    <x v="6"/>
    <x v="7"/>
    <x v="4"/>
    <s v="Mobile Web"/>
    <x v="3"/>
    <x v="0"/>
    <n v="8"/>
    <n v="4338"/>
    <n v="34704"/>
    <n v="10"/>
    <n v="3470"/>
    <n v="31234"/>
    <n v="16926"/>
    <n v="14308"/>
    <n v="1"/>
    <n v="3904"/>
    <n v="4.4000000000000004"/>
  </r>
  <r>
    <s v="ORD00155"/>
    <x v="10"/>
    <x v="239"/>
    <s v="AJIO Luxury Week"/>
    <x v="4"/>
    <x v="8"/>
    <x v="4"/>
    <s v="App"/>
    <x v="4"/>
    <x v="0"/>
    <n v="10"/>
    <n v="4756"/>
    <n v="47560"/>
    <n v="5"/>
    <n v="2378"/>
    <n v="45182"/>
    <n v="22487"/>
    <n v="22695"/>
    <n v="1"/>
    <n v="4518"/>
    <n v="3.3"/>
  </r>
  <r>
    <s v="ORD00450"/>
    <x v="10"/>
    <x v="240"/>
    <s v="AJIO Fashion Fiesta"/>
    <x v="1"/>
    <x v="7"/>
    <x v="0"/>
    <s v="Mobile Web"/>
    <x v="4"/>
    <x v="2"/>
    <n v="5"/>
    <n v="4902"/>
    <n v="24510"/>
    <n v="0"/>
    <n v="0"/>
    <n v="24510"/>
    <n v="11754"/>
    <n v="12756"/>
    <n v="1"/>
    <n v="4902"/>
    <n v="4.0999999999999996"/>
  </r>
  <r>
    <s v="ORD00078"/>
    <x v="10"/>
    <x v="241"/>
    <s v="AJIO Sports Carnival"/>
    <x v="4"/>
    <x v="1"/>
    <x v="4"/>
    <s v="App"/>
    <x v="3"/>
    <x v="0"/>
    <n v="1"/>
    <n v="1824"/>
    <n v="1824"/>
    <n v="0"/>
    <n v="0"/>
    <n v="1824"/>
    <n v="955"/>
    <n v="869"/>
    <n v="1"/>
    <n v="1824"/>
    <n v="3.6"/>
  </r>
  <r>
    <s v="ORD00441"/>
    <x v="10"/>
    <x v="241"/>
    <s v="AJIO Luxury Week"/>
    <x v="3"/>
    <x v="1"/>
    <x v="3"/>
    <s v="Mobile Web"/>
    <x v="0"/>
    <x v="2"/>
    <n v="13"/>
    <n v="4882"/>
    <n v="63466"/>
    <n v="10"/>
    <n v="6347"/>
    <n v="57119"/>
    <n v="31111"/>
    <n v="26008"/>
    <n v="3"/>
    <n v="13181"/>
    <n v="2.6"/>
  </r>
  <r>
    <s v="ORD00080"/>
    <x v="10"/>
    <x v="242"/>
    <s v="AJIO Mega Brand Sale"/>
    <x v="3"/>
    <x v="7"/>
    <x v="1"/>
    <s v="Mobile Web"/>
    <x v="2"/>
    <x v="1"/>
    <n v="15"/>
    <n v="1651"/>
    <n v="24765"/>
    <n v="50"/>
    <n v="12382"/>
    <n v="12383"/>
    <n v="6061"/>
    <n v="6322"/>
    <n v="3"/>
    <n v="2476"/>
    <n v="4.9000000000000004"/>
  </r>
  <r>
    <s v="ORD00410"/>
    <x v="10"/>
    <x v="242"/>
    <s v="AJIO Back to Campus"/>
    <x v="0"/>
    <x v="0"/>
    <x v="4"/>
    <s v="Mobile Web"/>
    <x v="0"/>
    <x v="0"/>
    <n v="3"/>
    <n v="4024"/>
    <n v="12072"/>
    <n v="50"/>
    <n v="6036"/>
    <n v="6036"/>
    <n v="3322"/>
    <n v="2714"/>
    <n v="1"/>
    <n v="2012"/>
    <n v="4.0999999999999996"/>
  </r>
  <r>
    <s v="ORD00001"/>
    <x v="10"/>
    <x v="243"/>
    <s v="AJIO Fashion Fiesta"/>
    <x v="6"/>
    <x v="9"/>
    <x v="1"/>
    <s v="App"/>
    <x v="4"/>
    <x v="0"/>
    <n v="12"/>
    <n v="781"/>
    <n v="9372"/>
    <n v="50"/>
    <n v="4686"/>
    <n v="4686"/>
    <n v="2211"/>
    <n v="2475"/>
    <n v="3"/>
    <n v="1172"/>
    <n v="2.6"/>
  </r>
  <r>
    <s v="ORD00125"/>
    <x v="10"/>
    <x v="243"/>
    <s v="AJIO New Year Blowout"/>
    <x v="5"/>
    <x v="8"/>
    <x v="4"/>
    <s v="App"/>
    <x v="2"/>
    <x v="1"/>
    <n v="10"/>
    <n v="2818"/>
    <n v="28180"/>
    <n v="50"/>
    <n v="14090"/>
    <n v="14090"/>
    <n v="8366"/>
    <n v="5724"/>
    <n v="2"/>
    <n v="2818"/>
    <n v="2.9"/>
  </r>
  <r>
    <s v="ORD00237"/>
    <x v="10"/>
    <x v="243"/>
    <s v="AJIO New Year Blowout"/>
    <x v="0"/>
    <x v="2"/>
    <x v="3"/>
    <s v="App"/>
    <x v="3"/>
    <x v="0"/>
    <n v="5"/>
    <n v="670"/>
    <n v="3350"/>
    <n v="15"/>
    <n v="502"/>
    <n v="2848"/>
    <n v="1975"/>
    <n v="873"/>
    <n v="0"/>
    <n v="0"/>
    <n v="3.8"/>
  </r>
  <r>
    <s v="ORD00140"/>
    <x v="10"/>
    <x v="244"/>
    <s v="AJIO Luxury Week"/>
    <x v="6"/>
    <x v="7"/>
    <x v="4"/>
    <s v="Mobile Web"/>
    <x v="1"/>
    <x v="1"/>
    <n v="3"/>
    <n v="4425"/>
    <n v="13275"/>
    <n v="50"/>
    <n v="6638"/>
    <n v="6637"/>
    <n v="4048"/>
    <n v="2589"/>
    <n v="0"/>
    <n v="0"/>
    <n v="4.4000000000000004"/>
  </r>
  <r>
    <s v="ORD00187"/>
    <x v="10"/>
    <x v="244"/>
    <s v="AJIO Back to Campus"/>
    <x v="6"/>
    <x v="2"/>
    <x v="2"/>
    <s v="App"/>
    <x v="2"/>
    <x v="0"/>
    <n v="7"/>
    <n v="945"/>
    <n v="6615"/>
    <n v="15"/>
    <n v="992"/>
    <n v="5623"/>
    <n v="2626"/>
    <n v="2997"/>
    <n v="0"/>
    <n v="0"/>
    <n v="2.5"/>
  </r>
  <r>
    <s v="ORD00288"/>
    <x v="10"/>
    <x v="245"/>
    <s v="AJIO Summer Splash"/>
    <x v="2"/>
    <x v="8"/>
    <x v="2"/>
    <s v="App"/>
    <x v="3"/>
    <x v="2"/>
    <n v="13"/>
    <n v="4731"/>
    <n v="61503"/>
    <n v="20"/>
    <n v="12301"/>
    <n v="49202"/>
    <n v="27354"/>
    <n v="21848"/>
    <n v="3"/>
    <n v="11354"/>
    <n v="4.5999999999999996"/>
  </r>
  <r>
    <s v="ORD00123"/>
    <x v="10"/>
    <x v="246"/>
    <s v="AJIO Big Bold Sale"/>
    <x v="3"/>
    <x v="5"/>
    <x v="0"/>
    <s v="App"/>
    <x v="3"/>
    <x v="1"/>
    <n v="12"/>
    <n v="4205"/>
    <n v="50460"/>
    <n v="40"/>
    <n v="20184"/>
    <n v="30276"/>
    <n v="17020"/>
    <n v="13256"/>
    <n v="0"/>
    <n v="0"/>
    <n v="4.8"/>
  </r>
  <r>
    <s v="ORD00048"/>
    <x v="10"/>
    <x v="247"/>
    <s v="AJIO End of Season"/>
    <x v="6"/>
    <x v="9"/>
    <x v="0"/>
    <s v="App"/>
    <x v="2"/>
    <x v="2"/>
    <n v="3"/>
    <n v="1420"/>
    <n v="4260"/>
    <n v="40"/>
    <n v="1704"/>
    <n v="2556"/>
    <n v="1578"/>
    <n v="978"/>
    <n v="0"/>
    <n v="0"/>
    <n v="3.7"/>
  </r>
  <r>
    <s v="ORD00052"/>
    <x v="10"/>
    <x v="247"/>
    <s v="AJIO Fashion Fiesta"/>
    <x v="3"/>
    <x v="8"/>
    <x v="3"/>
    <s v="Website"/>
    <x v="0"/>
    <x v="1"/>
    <n v="14"/>
    <n v="3735"/>
    <n v="52290"/>
    <n v="20"/>
    <n v="10458"/>
    <n v="41832"/>
    <n v="22195"/>
    <n v="19637"/>
    <n v="1"/>
    <n v="2988"/>
    <n v="4.5999999999999996"/>
  </r>
  <r>
    <s v="ORD00385"/>
    <x v="11"/>
    <x v="248"/>
    <s v="AJIO Luxury Week"/>
    <x v="3"/>
    <x v="4"/>
    <x v="3"/>
    <s v="Mobile Web"/>
    <x v="0"/>
    <x v="1"/>
    <n v="15"/>
    <n v="2390"/>
    <n v="35850"/>
    <n v="25"/>
    <n v="8962"/>
    <n v="26888"/>
    <n v="17127"/>
    <n v="9761"/>
    <n v="3"/>
    <n v="5378"/>
    <n v="3.5"/>
  </r>
  <r>
    <s v="ORD00417"/>
    <x v="11"/>
    <x v="248"/>
    <s v="AJIO Sports Carnival"/>
    <x v="5"/>
    <x v="8"/>
    <x v="2"/>
    <s v="Mobile Web"/>
    <x v="0"/>
    <x v="0"/>
    <n v="5"/>
    <n v="2764"/>
    <n v="13820"/>
    <n v="25"/>
    <n v="3455"/>
    <n v="10365"/>
    <n v="6063"/>
    <n v="4302"/>
    <n v="0"/>
    <n v="0"/>
    <n v="3.3"/>
  </r>
  <r>
    <s v="ORD00499"/>
    <x v="11"/>
    <x v="248"/>
    <s v="AJIO Big Bold Sale"/>
    <x v="4"/>
    <x v="2"/>
    <x v="4"/>
    <s v="Mobile Web"/>
    <x v="1"/>
    <x v="0"/>
    <n v="12"/>
    <n v="3022"/>
    <n v="36264"/>
    <n v="5"/>
    <n v="1813"/>
    <n v="34451"/>
    <n v="15821"/>
    <n v="18630"/>
    <n v="1"/>
    <n v="2871"/>
    <n v="3.7"/>
  </r>
  <r>
    <s v="ORD00037"/>
    <x v="11"/>
    <x v="249"/>
    <s v="AJIO Mega Brand Sale"/>
    <x v="3"/>
    <x v="7"/>
    <x v="4"/>
    <s v="Website"/>
    <x v="4"/>
    <x v="2"/>
    <n v="8"/>
    <n v="4030"/>
    <n v="32240"/>
    <n v="10"/>
    <n v="3224"/>
    <n v="29016"/>
    <n v="17837"/>
    <n v="11179"/>
    <n v="1"/>
    <n v="3627"/>
    <n v="3.8"/>
  </r>
  <r>
    <s v="ORD00362"/>
    <x v="11"/>
    <x v="249"/>
    <s v="AJIO Mega Brand Sale"/>
    <x v="2"/>
    <x v="0"/>
    <x v="4"/>
    <s v="Website"/>
    <x v="2"/>
    <x v="0"/>
    <n v="7"/>
    <n v="3361"/>
    <n v="23527"/>
    <n v="20"/>
    <n v="4705"/>
    <n v="18822"/>
    <n v="9699"/>
    <n v="9123"/>
    <n v="1"/>
    <n v="2689"/>
    <n v="3.9"/>
  </r>
  <r>
    <s v="ORD00368"/>
    <x v="11"/>
    <x v="249"/>
    <s v="AJIO Fashion Fiesta"/>
    <x v="6"/>
    <x v="5"/>
    <x v="2"/>
    <s v="Website"/>
    <x v="0"/>
    <x v="1"/>
    <n v="11"/>
    <n v="2156"/>
    <n v="23716"/>
    <n v="15"/>
    <n v="3557"/>
    <n v="20159"/>
    <n v="11681"/>
    <n v="8478"/>
    <n v="2"/>
    <n v="3665"/>
    <n v="4.3"/>
  </r>
  <r>
    <s v="ORD00487"/>
    <x v="11"/>
    <x v="249"/>
    <s v="AJIO Luxury Week"/>
    <x v="0"/>
    <x v="6"/>
    <x v="4"/>
    <s v="Mobile Web"/>
    <x v="4"/>
    <x v="2"/>
    <n v="11"/>
    <n v="3066"/>
    <n v="33726"/>
    <n v="15"/>
    <n v="5059"/>
    <n v="28667"/>
    <n v="16627"/>
    <n v="12040"/>
    <n v="2"/>
    <n v="5212"/>
    <n v="4.2"/>
  </r>
  <r>
    <s v="ORD00207"/>
    <x v="11"/>
    <x v="250"/>
    <s v="AJIO New Year Blowout"/>
    <x v="4"/>
    <x v="0"/>
    <x v="0"/>
    <s v="Mobile Web"/>
    <x v="1"/>
    <x v="0"/>
    <n v="10"/>
    <n v="4922"/>
    <n v="49220"/>
    <n v="30"/>
    <n v="14766"/>
    <n v="34454"/>
    <n v="23832"/>
    <n v="10622"/>
    <n v="1"/>
    <n v="3445"/>
    <n v="4.9000000000000004"/>
  </r>
  <r>
    <s v="ORD00475"/>
    <x v="11"/>
    <x v="250"/>
    <s v="AJIO Back to Campus"/>
    <x v="1"/>
    <x v="5"/>
    <x v="2"/>
    <s v="App"/>
    <x v="0"/>
    <x v="1"/>
    <n v="15"/>
    <n v="4007"/>
    <n v="60105"/>
    <n v="30"/>
    <n v="18032"/>
    <n v="42073"/>
    <n v="25488"/>
    <n v="16585"/>
    <n v="3"/>
    <n v="8415"/>
    <n v="3.8"/>
  </r>
  <r>
    <s v="ORD00178"/>
    <x v="11"/>
    <x v="251"/>
    <s v="AJIO Big Bold Sale"/>
    <x v="0"/>
    <x v="3"/>
    <x v="4"/>
    <s v="Website"/>
    <x v="3"/>
    <x v="0"/>
    <n v="9"/>
    <n v="4757"/>
    <n v="42813"/>
    <n v="10"/>
    <n v="4281"/>
    <n v="38532"/>
    <n v="23370"/>
    <n v="15162"/>
    <n v="1"/>
    <n v="4281"/>
    <n v="3.9"/>
  </r>
  <r>
    <s v="ORD00331"/>
    <x v="11"/>
    <x v="251"/>
    <s v="AJIO Back to Campus"/>
    <x v="3"/>
    <x v="7"/>
    <x v="3"/>
    <s v="Mobile Web"/>
    <x v="3"/>
    <x v="0"/>
    <n v="13"/>
    <n v="3625"/>
    <n v="47125"/>
    <n v="50"/>
    <n v="23562"/>
    <n v="23563"/>
    <n v="11899"/>
    <n v="11664"/>
    <n v="1"/>
    <n v="1812"/>
    <n v="3.8"/>
  </r>
  <r>
    <s v="ORD00354"/>
    <x v="11"/>
    <x v="251"/>
    <s v="AJIO Big Bold Sale"/>
    <x v="2"/>
    <x v="6"/>
    <x v="1"/>
    <s v="Mobile Web"/>
    <x v="2"/>
    <x v="1"/>
    <n v="11"/>
    <n v="2549"/>
    <n v="28039"/>
    <n v="15"/>
    <n v="4206"/>
    <n v="23833"/>
    <n v="14245"/>
    <n v="9588"/>
    <n v="2"/>
    <n v="4333"/>
    <n v="4.5999999999999996"/>
  </r>
  <r>
    <s v="ORD00484"/>
    <x v="11"/>
    <x v="251"/>
    <s v="AJIO End of Season"/>
    <x v="1"/>
    <x v="5"/>
    <x v="0"/>
    <s v="Mobile Web"/>
    <x v="3"/>
    <x v="0"/>
    <n v="11"/>
    <n v="1542"/>
    <n v="16962"/>
    <n v="5"/>
    <n v="848"/>
    <n v="16114"/>
    <n v="7463"/>
    <n v="8651"/>
    <n v="1"/>
    <n v="1465"/>
    <n v="3.5"/>
  </r>
  <r>
    <s v="ORD00115"/>
    <x v="11"/>
    <x v="252"/>
    <s v="AJIO Festive Rush"/>
    <x v="2"/>
    <x v="0"/>
    <x v="1"/>
    <s v="Mobile Web"/>
    <x v="0"/>
    <x v="0"/>
    <n v="10"/>
    <n v="3631"/>
    <n v="36310"/>
    <n v="5"/>
    <n v="1816"/>
    <n v="34494"/>
    <n v="18192"/>
    <n v="16302"/>
    <n v="1"/>
    <n v="3449"/>
    <n v="4.0999999999999996"/>
  </r>
  <r>
    <s v="ORD00304"/>
    <x v="11"/>
    <x v="252"/>
    <s v="AJIO Fashion Fiesta"/>
    <x v="0"/>
    <x v="4"/>
    <x v="3"/>
    <s v="Mobile Web"/>
    <x v="4"/>
    <x v="1"/>
    <n v="14"/>
    <n v="4523"/>
    <n v="63322"/>
    <n v="50"/>
    <n v="31661"/>
    <n v="31661"/>
    <n v="19937"/>
    <n v="11724"/>
    <n v="0"/>
    <n v="0"/>
    <n v="3.2"/>
  </r>
  <r>
    <s v="ORD00313"/>
    <x v="11"/>
    <x v="252"/>
    <s v="AJIO Luxury Week"/>
    <x v="4"/>
    <x v="6"/>
    <x v="0"/>
    <s v="Mobile Web"/>
    <x v="1"/>
    <x v="0"/>
    <n v="1"/>
    <n v="3323"/>
    <n v="3323"/>
    <n v="10"/>
    <n v="332"/>
    <n v="2991"/>
    <n v="1724"/>
    <n v="1267"/>
    <n v="1"/>
    <n v="2991"/>
    <n v="4.5999999999999996"/>
  </r>
  <r>
    <s v="ORD00325"/>
    <x v="11"/>
    <x v="253"/>
    <s v="AJIO End of Season"/>
    <x v="4"/>
    <x v="6"/>
    <x v="3"/>
    <s v="Website"/>
    <x v="0"/>
    <x v="0"/>
    <n v="9"/>
    <n v="799"/>
    <n v="7191"/>
    <n v="30"/>
    <n v="2157"/>
    <n v="5034"/>
    <n v="2448"/>
    <n v="2586"/>
    <n v="2"/>
    <n v="1119"/>
    <n v="2.6"/>
  </r>
  <r>
    <s v="ORD00166"/>
    <x v="11"/>
    <x v="254"/>
    <s v="AJIO End of Season"/>
    <x v="6"/>
    <x v="5"/>
    <x v="0"/>
    <s v="Website"/>
    <x v="3"/>
    <x v="0"/>
    <n v="1"/>
    <n v="1525"/>
    <n v="1525"/>
    <n v="15"/>
    <n v="229"/>
    <n v="1296"/>
    <n v="728"/>
    <n v="568"/>
    <n v="1"/>
    <n v="1296"/>
    <n v="4.9000000000000004"/>
  </r>
  <r>
    <s v="ORD00182"/>
    <x v="11"/>
    <x v="255"/>
    <s v="AJIO Summer Splash"/>
    <x v="0"/>
    <x v="3"/>
    <x v="4"/>
    <s v="App"/>
    <x v="3"/>
    <x v="1"/>
    <n v="15"/>
    <n v="371"/>
    <n v="5565"/>
    <n v="15"/>
    <n v="835"/>
    <n v="4730"/>
    <n v="3266"/>
    <n v="1464"/>
    <n v="0"/>
    <n v="0"/>
    <n v="4.4000000000000004"/>
  </r>
  <r>
    <s v="ORD00242"/>
    <x v="11"/>
    <x v="256"/>
    <s v="AJIO Luxury Week"/>
    <x v="4"/>
    <x v="1"/>
    <x v="0"/>
    <s v="Mobile Web"/>
    <x v="1"/>
    <x v="0"/>
    <n v="1"/>
    <n v="4335"/>
    <n v="4335"/>
    <n v="0"/>
    <n v="0"/>
    <n v="4335"/>
    <n v="2216"/>
    <n v="2119"/>
    <n v="1"/>
    <n v="4335"/>
    <n v="3.4"/>
  </r>
  <r>
    <s v="ORD00036"/>
    <x v="11"/>
    <x v="257"/>
    <s v="AJIO Mega Brand Sale"/>
    <x v="4"/>
    <x v="5"/>
    <x v="3"/>
    <s v="Mobile Web"/>
    <x v="3"/>
    <x v="1"/>
    <n v="9"/>
    <n v="4218"/>
    <n v="37962"/>
    <n v="20"/>
    <n v="7592"/>
    <n v="30370"/>
    <n v="15845"/>
    <n v="14525"/>
    <n v="1"/>
    <n v="3374"/>
    <n v="4.5"/>
  </r>
  <r>
    <s v="ORD00159"/>
    <x v="11"/>
    <x v="257"/>
    <s v="AJIO Summer Splash"/>
    <x v="0"/>
    <x v="6"/>
    <x v="4"/>
    <s v="Website"/>
    <x v="4"/>
    <x v="1"/>
    <n v="1"/>
    <n v="1651"/>
    <n v="1651"/>
    <n v="5"/>
    <n v="83"/>
    <n v="1568"/>
    <n v="841"/>
    <n v="727"/>
    <n v="1"/>
    <n v="1568"/>
    <n v="4.0999999999999996"/>
  </r>
  <r>
    <s v="ORD00375"/>
    <x v="11"/>
    <x v="257"/>
    <s v="AJIO Back to Campus"/>
    <x v="4"/>
    <x v="7"/>
    <x v="3"/>
    <s v="App"/>
    <x v="1"/>
    <x v="0"/>
    <n v="14"/>
    <n v="2566"/>
    <n v="35924"/>
    <n v="25"/>
    <n v="8981"/>
    <n v="26943"/>
    <n v="15441"/>
    <n v="11502"/>
    <n v="2"/>
    <n v="3849"/>
    <n v="3.7"/>
  </r>
  <r>
    <s v="ORD00134"/>
    <x v="11"/>
    <x v="258"/>
    <s v="AJIO Summer Splash"/>
    <x v="2"/>
    <x v="9"/>
    <x v="0"/>
    <s v="Mobile Web"/>
    <x v="0"/>
    <x v="0"/>
    <n v="3"/>
    <n v="615"/>
    <n v="1845"/>
    <n v="25"/>
    <n v="461"/>
    <n v="1384"/>
    <n v="748"/>
    <n v="636"/>
    <n v="0"/>
    <n v="0"/>
    <n v="4"/>
  </r>
  <r>
    <s v="ORD00223"/>
    <x v="11"/>
    <x v="258"/>
    <s v="AJIO New Year Blowout"/>
    <x v="5"/>
    <x v="1"/>
    <x v="0"/>
    <s v="Website"/>
    <x v="2"/>
    <x v="1"/>
    <n v="14"/>
    <n v="3382"/>
    <n v="47348"/>
    <n v="10"/>
    <n v="4735"/>
    <n v="42613"/>
    <n v="21836"/>
    <n v="20777"/>
    <n v="2"/>
    <n v="6088"/>
    <n v="4.5999999999999996"/>
  </r>
  <r>
    <s v="ORD00294"/>
    <x v="11"/>
    <x v="259"/>
    <s v="AJIO Fashion Fiesta"/>
    <x v="3"/>
    <x v="1"/>
    <x v="0"/>
    <s v="Website"/>
    <x v="4"/>
    <x v="2"/>
    <n v="14"/>
    <n v="1742"/>
    <n v="24388"/>
    <n v="25"/>
    <n v="6097"/>
    <n v="18291"/>
    <n v="9931"/>
    <n v="8360"/>
    <n v="2"/>
    <n v="2613"/>
    <n v="3.7"/>
  </r>
  <r>
    <s v="ORD00200"/>
    <x v="11"/>
    <x v="260"/>
    <s v="AJIO Fashion Fiesta"/>
    <x v="1"/>
    <x v="5"/>
    <x v="0"/>
    <s v="Website"/>
    <x v="3"/>
    <x v="1"/>
    <n v="8"/>
    <n v="985"/>
    <n v="7880"/>
    <n v="10"/>
    <n v="788"/>
    <n v="7092"/>
    <n v="3962"/>
    <n v="3130"/>
    <n v="1"/>
    <n v="886"/>
    <n v="3.2"/>
  </r>
  <r>
    <s v="ORD00218"/>
    <x v="11"/>
    <x v="260"/>
    <s v="AJIO End of Season"/>
    <x v="1"/>
    <x v="6"/>
    <x v="4"/>
    <s v="Website"/>
    <x v="4"/>
    <x v="0"/>
    <n v="10"/>
    <n v="444"/>
    <n v="4440"/>
    <n v="15"/>
    <n v="666"/>
    <n v="3774"/>
    <n v="1974"/>
    <n v="1800"/>
    <n v="1"/>
    <n v="377"/>
    <n v="3.1"/>
  </r>
  <r>
    <s v="ORD00349"/>
    <x v="11"/>
    <x v="260"/>
    <s v="AJIO Big Bold Sale"/>
    <x v="2"/>
    <x v="2"/>
    <x v="0"/>
    <s v="Website"/>
    <x v="4"/>
    <x v="0"/>
    <n v="10"/>
    <n v="4758"/>
    <n v="47580"/>
    <n v="10"/>
    <n v="4758"/>
    <n v="42822"/>
    <n v="27148"/>
    <n v="15674"/>
    <n v="1"/>
    <n v="4282"/>
    <n v="4.8"/>
  </r>
  <r>
    <s v="ORD00324"/>
    <x v="11"/>
    <x v="261"/>
    <s v="AJIO Mega Brand Sale"/>
    <x v="3"/>
    <x v="5"/>
    <x v="0"/>
    <s v="Mobile Web"/>
    <x v="1"/>
    <x v="2"/>
    <n v="11"/>
    <n v="1814"/>
    <n v="19954"/>
    <n v="5"/>
    <n v="998"/>
    <n v="18956"/>
    <n v="12136"/>
    <n v="6820"/>
    <n v="2"/>
    <n v="3447"/>
    <n v="3.7"/>
  </r>
  <r>
    <s v="ORD00459"/>
    <x v="11"/>
    <x v="261"/>
    <s v="AJIO Sports Carnival"/>
    <x v="5"/>
    <x v="8"/>
    <x v="2"/>
    <s v="Website"/>
    <x v="0"/>
    <x v="0"/>
    <n v="2"/>
    <n v="2746"/>
    <n v="5492"/>
    <n v="20"/>
    <n v="1098"/>
    <n v="4394"/>
    <n v="2002"/>
    <n v="2392"/>
    <n v="1"/>
    <n v="2197"/>
    <n v="4.0999999999999996"/>
  </r>
  <r>
    <s v="ORD00014"/>
    <x v="11"/>
    <x v="262"/>
    <s v="AJIO Mega Brand Sale"/>
    <x v="2"/>
    <x v="4"/>
    <x v="4"/>
    <s v="Mobile Web"/>
    <x v="3"/>
    <x v="1"/>
    <n v="15"/>
    <n v="2732"/>
    <n v="40980"/>
    <n v="5"/>
    <n v="2049"/>
    <n v="38931"/>
    <n v="19932"/>
    <n v="18999"/>
    <n v="0"/>
    <n v="0"/>
    <n v="3.3"/>
  </r>
  <r>
    <s v="ORD00055"/>
    <x v="11"/>
    <x v="262"/>
    <s v="AJIO Back to Campus"/>
    <x v="1"/>
    <x v="7"/>
    <x v="4"/>
    <s v="App"/>
    <x v="2"/>
    <x v="1"/>
    <n v="4"/>
    <n v="2200"/>
    <n v="8800"/>
    <n v="15"/>
    <n v="1320"/>
    <n v="7480"/>
    <n v="3939"/>
    <n v="3541"/>
    <n v="1"/>
    <n v="1870"/>
    <n v="3.7"/>
  </r>
  <r>
    <s v="ORD00057"/>
    <x v="11"/>
    <x v="262"/>
    <s v="AJIO End of Season"/>
    <x v="2"/>
    <x v="3"/>
    <x v="0"/>
    <s v="Mobile Web"/>
    <x v="0"/>
    <x v="1"/>
    <n v="12"/>
    <n v="3070"/>
    <n v="36840"/>
    <n v="50"/>
    <n v="18420"/>
    <n v="18420"/>
    <n v="11037"/>
    <n v="7383"/>
    <n v="0"/>
    <n v="0"/>
    <n v="4.5999999999999996"/>
  </r>
  <r>
    <s v="ORD00209"/>
    <x v="11"/>
    <x v="262"/>
    <s v="AJIO Festive Rush"/>
    <x v="0"/>
    <x v="5"/>
    <x v="1"/>
    <s v="App"/>
    <x v="0"/>
    <x v="0"/>
    <n v="5"/>
    <n v="2254"/>
    <n v="11270"/>
    <n v="5"/>
    <n v="564"/>
    <n v="10706"/>
    <n v="5128"/>
    <n v="5578"/>
    <n v="0"/>
    <n v="0"/>
    <n v="3.4"/>
  </r>
  <r>
    <s v="ORD00303"/>
    <x v="11"/>
    <x v="262"/>
    <s v="AJIO Fashion Fiesta"/>
    <x v="6"/>
    <x v="6"/>
    <x v="4"/>
    <s v="Website"/>
    <x v="2"/>
    <x v="2"/>
    <n v="5"/>
    <n v="2529"/>
    <n v="12645"/>
    <n v="10"/>
    <n v="1264"/>
    <n v="11381"/>
    <n v="5706"/>
    <n v="5675"/>
    <n v="0"/>
    <n v="0"/>
    <n v="3.3"/>
  </r>
  <r>
    <s v="ORD00344"/>
    <x v="11"/>
    <x v="263"/>
    <s v="AJIO New Year Blowout"/>
    <x v="0"/>
    <x v="5"/>
    <x v="3"/>
    <s v="Mobile Web"/>
    <x v="3"/>
    <x v="1"/>
    <n v="7"/>
    <n v="1092"/>
    <n v="7644"/>
    <n v="25"/>
    <n v="1911"/>
    <n v="5733"/>
    <n v="2933"/>
    <n v="2800"/>
    <n v="0"/>
    <n v="0"/>
    <n v="4.3"/>
  </r>
  <r>
    <s v="ORD00480"/>
    <x v="11"/>
    <x v="263"/>
    <s v="AJIO Mega Brand Sale"/>
    <x v="0"/>
    <x v="4"/>
    <x v="3"/>
    <s v="Website"/>
    <x v="2"/>
    <x v="2"/>
    <n v="8"/>
    <n v="3016"/>
    <n v="24128"/>
    <n v="0"/>
    <n v="0"/>
    <n v="24128"/>
    <n v="14817"/>
    <n v="9311"/>
    <n v="1"/>
    <n v="3016"/>
    <n v="4.5"/>
  </r>
  <r>
    <s v="ORD00044"/>
    <x v="11"/>
    <x v="264"/>
    <s v="AJIO End of Season"/>
    <x v="6"/>
    <x v="8"/>
    <x v="4"/>
    <s v="Website"/>
    <x v="2"/>
    <x v="1"/>
    <n v="5"/>
    <n v="3840"/>
    <n v="19200"/>
    <n v="30"/>
    <n v="5760"/>
    <n v="13440"/>
    <n v="7856"/>
    <n v="5584"/>
    <n v="0"/>
    <n v="0"/>
    <n v="3.7"/>
  </r>
  <r>
    <s v="ORD00129"/>
    <x v="11"/>
    <x v="264"/>
    <s v="AJIO Back to Campus"/>
    <x v="1"/>
    <x v="5"/>
    <x v="0"/>
    <s v="App"/>
    <x v="0"/>
    <x v="0"/>
    <n v="5"/>
    <n v="1246"/>
    <n v="6230"/>
    <n v="15"/>
    <n v="934"/>
    <n v="5296"/>
    <n v="3556"/>
    <n v="1740"/>
    <n v="1"/>
    <n v="1059"/>
    <n v="4.8"/>
  </r>
  <r>
    <s v="ORD00271"/>
    <x v="11"/>
    <x v="264"/>
    <s v="AJIO Festive Rush"/>
    <x v="0"/>
    <x v="2"/>
    <x v="1"/>
    <s v="Mobile Web"/>
    <x v="3"/>
    <x v="1"/>
    <n v="4"/>
    <n v="750"/>
    <n v="3000"/>
    <n v="30"/>
    <n v="900"/>
    <n v="2100"/>
    <n v="1245"/>
    <n v="855"/>
    <n v="1"/>
    <n v="525"/>
    <n v="2.9"/>
  </r>
  <r>
    <s v="ORD00282"/>
    <x v="11"/>
    <x v="264"/>
    <s v="AJIO Fashion Fiesta"/>
    <x v="4"/>
    <x v="1"/>
    <x v="0"/>
    <s v="App"/>
    <x v="3"/>
    <x v="2"/>
    <n v="8"/>
    <n v="3937"/>
    <n v="31496"/>
    <n v="25"/>
    <n v="7874"/>
    <n v="23622"/>
    <n v="12221"/>
    <n v="11401"/>
    <n v="1"/>
    <n v="2953"/>
    <n v="4"/>
  </r>
  <r>
    <s v="ORD00323"/>
    <x v="11"/>
    <x v="265"/>
    <s v="AJIO End of Season"/>
    <x v="4"/>
    <x v="2"/>
    <x v="1"/>
    <s v="Mobile Web"/>
    <x v="1"/>
    <x v="1"/>
    <n v="12"/>
    <n v="3762"/>
    <n v="45144"/>
    <n v="50"/>
    <n v="22572"/>
    <n v="22572"/>
    <n v="13727"/>
    <n v="8845"/>
    <n v="1"/>
    <n v="1881"/>
    <n v="3"/>
  </r>
  <r>
    <s v="ORD00168"/>
    <x v="11"/>
    <x v="266"/>
    <s v="AJIO Mega Brand Sale"/>
    <x v="5"/>
    <x v="4"/>
    <x v="2"/>
    <s v="Mobile Web"/>
    <x v="3"/>
    <x v="1"/>
    <n v="10"/>
    <n v="1337"/>
    <n v="13370"/>
    <n v="10"/>
    <n v="1337"/>
    <n v="12033"/>
    <n v="6853"/>
    <n v="5180"/>
    <n v="1"/>
    <n v="1203"/>
    <n v="4.4000000000000004"/>
  </r>
  <r>
    <s v="ORD00285"/>
    <x v="11"/>
    <x v="266"/>
    <s v="AJIO Luxury Week"/>
    <x v="2"/>
    <x v="4"/>
    <x v="1"/>
    <s v="Website"/>
    <x v="1"/>
    <x v="1"/>
    <n v="11"/>
    <n v="4637"/>
    <n v="51007"/>
    <n v="0"/>
    <n v="0"/>
    <n v="51007"/>
    <n v="26038"/>
    <n v="24969"/>
    <n v="1"/>
    <n v="4637"/>
    <n v="4"/>
  </r>
  <r>
    <s v="ORD00449"/>
    <x v="11"/>
    <x v="267"/>
    <s v="AJIO Back to Campus"/>
    <x v="3"/>
    <x v="6"/>
    <x v="3"/>
    <s v="Website"/>
    <x v="3"/>
    <x v="2"/>
    <n v="10"/>
    <n v="4976"/>
    <n v="49760"/>
    <n v="25"/>
    <n v="12440"/>
    <n v="37320"/>
    <n v="25444"/>
    <n v="11876"/>
    <n v="2"/>
    <n v="7464"/>
    <n v="3.9"/>
  </r>
  <r>
    <s v="ORD00456"/>
    <x v="11"/>
    <x v="268"/>
    <s v="AJIO Festive Rush"/>
    <x v="6"/>
    <x v="4"/>
    <x v="4"/>
    <s v="App"/>
    <x v="0"/>
    <x v="0"/>
    <n v="6"/>
    <n v="2423"/>
    <n v="14538"/>
    <n v="20"/>
    <n v="2908"/>
    <n v="11630"/>
    <n v="5862"/>
    <n v="5768"/>
    <n v="1"/>
    <n v="1938"/>
    <n v="2.9"/>
  </r>
  <r>
    <s v="ORD00440"/>
    <x v="11"/>
    <x v="269"/>
    <s v="AJIO Summer Splash"/>
    <x v="2"/>
    <x v="7"/>
    <x v="2"/>
    <s v="Website"/>
    <x v="3"/>
    <x v="2"/>
    <n v="11"/>
    <n v="4563"/>
    <n v="50193"/>
    <n v="10"/>
    <n v="5019"/>
    <n v="45174"/>
    <n v="28441"/>
    <n v="16733"/>
    <n v="0"/>
    <n v="0"/>
    <n v="2.7"/>
  </r>
  <r>
    <m/>
    <x v="12"/>
    <x v="270"/>
    <m/>
    <x v="7"/>
    <x v="10"/>
    <x v="5"/>
    <m/>
    <x v="5"/>
    <x v="3"/>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91E10B-7D3A-46DA-B908-1A8F1547856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BRAND">
  <location ref="K4:L16" firstHeaderRow="1" firstDataRow="1" firstDataCol="1"/>
  <pivotFields count="21">
    <pivotField showAll="0"/>
    <pivotField showAll="0">
      <items count="14">
        <item x="0"/>
        <item x="1"/>
        <item x="2"/>
        <item x="3"/>
        <item x="4"/>
        <item x="5"/>
        <item x="6"/>
        <item x="7"/>
        <item x="8"/>
        <item x="9"/>
        <item x="10"/>
        <item x="11"/>
        <item x="12"/>
        <item t="default"/>
      </items>
    </pivotField>
    <pivotField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showAll="0"/>
    <pivotField showAll="0">
      <items count="9">
        <item x="3"/>
        <item x="1"/>
        <item x="6"/>
        <item x="2"/>
        <item x="4"/>
        <item x="5"/>
        <item x="0"/>
        <item x="7"/>
        <item t="default"/>
      </items>
    </pivotField>
    <pivotField axis="axisRow" showAll="0">
      <items count="12">
        <item x="5"/>
        <item x="3"/>
        <item x="2"/>
        <item x="4"/>
        <item x="1"/>
        <item x="9"/>
        <item x="7"/>
        <item x="8"/>
        <item x="6"/>
        <item x="0"/>
        <item x="10"/>
        <item t="default"/>
      </items>
    </pivotField>
    <pivotField showAll="0">
      <items count="7">
        <item x="2"/>
        <item x="0"/>
        <item x="1"/>
        <item x="4"/>
        <item x="3"/>
        <item x="5"/>
        <item t="default"/>
      </items>
    </pivotField>
    <pivotField showAll="0"/>
    <pivotField showAll="0">
      <items count="7">
        <item x="0"/>
        <item x="2"/>
        <item x="4"/>
        <item x="3"/>
        <item x="1"/>
        <item x="5"/>
        <item t="default"/>
      </items>
    </pivotField>
    <pivotField showAll="0">
      <items count="5">
        <item x="1"/>
        <item x="0"/>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Cost (₹)" fld="16" baseField="0" baseItem="0"/>
  </dataFields>
  <formats count="24">
    <format dxfId="138">
      <pivotArea type="all" dataOnly="0" outline="0" fieldPosition="0"/>
    </format>
    <format dxfId="137">
      <pivotArea outline="0" collapsedLevelsAreSubtotals="1" fieldPosition="0"/>
    </format>
    <format dxfId="136">
      <pivotArea field="5" type="button" dataOnly="0" labelOnly="1" outline="0" axis="axisRow" fieldPosition="0"/>
    </format>
    <format dxfId="135">
      <pivotArea dataOnly="0" labelOnly="1" fieldPosition="0">
        <references count="1">
          <reference field="5"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5" type="button" dataOnly="0" labelOnly="1" outline="0" axis="axisRow" fieldPosition="0"/>
    </format>
    <format dxfId="129">
      <pivotArea dataOnly="0" labelOnly="1" fieldPosition="0">
        <references count="1">
          <reference field="5" count="0"/>
        </references>
      </pivotArea>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5" type="button" dataOnly="0" labelOnly="1" outline="0" axis="axisRow" fieldPosition="0"/>
    </format>
    <format dxfId="123">
      <pivotArea dataOnly="0" labelOnly="1" fieldPosition="0">
        <references count="1">
          <reference field="5" count="0"/>
        </references>
      </pivotArea>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5" type="button" dataOnly="0" labelOnly="1" outline="0" axis="axisRow" fieldPosition="0"/>
    </format>
    <format dxfId="117">
      <pivotArea dataOnly="0" labelOnly="1" fieldPosition="0">
        <references count="1">
          <reference field="5" count="0"/>
        </references>
      </pivotArea>
    </format>
    <format dxfId="116">
      <pivotArea dataOnly="0" labelOnly="1" grandRow="1" outline="0"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E0A2CD-AB1A-4E4E-8399-FD4F7DA15A3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REGIONS">
  <location ref="H4:I11" firstHeaderRow="1" firstDataRow="1" firstDataCol="1"/>
  <pivotFields count="21">
    <pivotField showAll="0"/>
    <pivotField showAll="0">
      <items count="14">
        <item x="0"/>
        <item x="1"/>
        <item x="2"/>
        <item x="3"/>
        <item x="4"/>
        <item x="5"/>
        <item x="6"/>
        <item x="7"/>
        <item x="8"/>
        <item x="9"/>
        <item x="10"/>
        <item x="11"/>
        <item x="12"/>
        <item t="default"/>
      </items>
    </pivotField>
    <pivotField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showAll="0"/>
    <pivotField showAll="0">
      <items count="9">
        <item x="3"/>
        <item x="1"/>
        <item x="6"/>
        <item x="2"/>
        <item x="4"/>
        <item x="5"/>
        <item x="0"/>
        <item x="7"/>
        <item t="default"/>
      </items>
    </pivotField>
    <pivotField showAll="0"/>
    <pivotField axis="axisRow" showAll="0">
      <items count="7">
        <item x="2"/>
        <item x="0"/>
        <item x="1"/>
        <item x="4"/>
        <item x="3"/>
        <item x="5"/>
        <item t="default"/>
      </items>
    </pivotField>
    <pivotField showAll="0"/>
    <pivotField showAll="0">
      <items count="7">
        <item x="0"/>
        <item x="2"/>
        <item x="4"/>
        <item x="3"/>
        <item x="1"/>
        <item x="5"/>
        <item t="default"/>
      </items>
    </pivotField>
    <pivotField showAll="0">
      <items count="5">
        <item x="1"/>
        <item x="0"/>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Cost (₹)" fld="16" baseField="0" baseItem="0"/>
  </dataFields>
  <formats count="18">
    <format dxfId="156">
      <pivotArea type="all" dataOnly="0" outline="0" fieldPosition="0"/>
    </format>
    <format dxfId="155">
      <pivotArea outline="0" collapsedLevelsAreSubtotals="1" fieldPosition="0"/>
    </format>
    <format dxfId="154">
      <pivotArea field="6" type="button" dataOnly="0" labelOnly="1" outline="0" axis="axisRow" fieldPosition="0"/>
    </format>
    <format dxfId="153">
      <pivotArea dataOnly="0" labelOnly="1" fieldPosition="0">
        <references count="1">
          <reference field="6"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6" type="button" dataOnly="0" labelOnly="1" outline="0" axis="axisRow" fieldPosition="0"/>
    </format>
    <format dxfId="147">
      <pivotArea dataOnly="0" labelOnly="1" fieldPosition="0">
        <references count="1">
          <reference field="6"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6" type="button" dataOnly="0" labelOnly="1" outline="0" axis="axisRow" fieldPosition="0"/>
    </format>
    <format dxfId="141">
      <pivotArea dataOnly="0" labelOnly="1" fieldPosition="0">
        <references count="1">
          <reference field="6" count="0"/>
        </references>
      </pivotArea>
    </format>
    <format dxfId="140">
      <pivotArea dataOnly="0" labelOnly="1" grandRow="1" outline="0" fieldPosition="0"/>
    </format>
    <format dxfId="139">
      <pivotArea dataOnly="0" labelOnly="1" outline="0" axis="axisValues" fieldPosition="0"/>
    </format>
  </formats>
  <chartFormats count="8">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2"/>
          </reference>
        </references>
      </pivotArea>
    </chartFormat>
    <chartFormat chart="4" format="6">
      <pivotArea type="data" outline="0" fieldPosition="0">
        <references count="2">
          <reference field="4294967294" count="1" selected="0">
            <x v="0"/>
          </reference>
          <reference field="6" count="1" selected="0">
            <x v="3"/>
          </reference>
        </references>
      </pivotArea>
    </chartFormat>
    <chartFormat chart="4"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909B8-AE24-448E-B910-52B0E032FF0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E4:F13" firstHeaderRow="1" firstDataRow="1" firstDataCol="1"/>
  <pivotFields count="21">
    <pivotField showAll="0"/>
    <pivotField showAll="0">
      <items count="14">
        <item x="0"/>
        <item x="1"/>
        <item x="2"/>
        <item x="3"/>
        <item x="4"/>
        <item x="5"/>
        <item x="6"/>
        <item x="7"/>
        <item x="8"/>
        <item x="9"/>
        <item x="10"/>
        <item x="11"/>
        <item x="12"/>
        <item t="default"/>
      </items>
    </pivotField>
    <pivotField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showAll="0"/>
    <pivotField axis="axisRow" showAll="0">
      <items count="9">
        <item x="3"/>
        <item x="1"/>
        <item x="6"/>
        <item x="2"/>
        <item x="4"/>
        <item x="5"/>
        <item x="0"/>
        <item x="7"/>
        <item t="default"/>
      </items>
    </pivotField>
    <pivotField showAll="0"/>
    <pivotField showAll="0">
      <items count="7">
        <item x="2"/>
        <item x="0"/>
        <item x="1"/>
        <item x="4"/>
        <item x="3"/>
        <item x="5"/>
        <item t="default"/>
      </items>
    </pivotField>
    <pivotField showAll="0"/>
    <pivotField showAll="0">
      <items count="7">
        <item x="0"/>
        <item x="2"/>
        <item x="4"/>
        <item x="3"/>
        <item x="1"/>
        <item x="5"/>
        <item t="default"/>
      </items>
    </pivotField>
    <pivotField showAll="0">
      <items count="5">
        <item x="1"/>
        <item x="0"/>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Cost (₹)" fld="16" baseField="0" baseItem="0"/>
  </dataFields>
  <formats count="18">
    <format dxfId="174">
      <pivotArea type="all" dataOnly="0" outline="0" fieldPosition="0"/>
    </format>
    <format dxfId="173">
      <pivotArea outline="0" collapsedLevelsAreSubtotals="1" fieldPosition="0"/>
    </format>
    <format dxfId="172">
      <pivotArea field="4" type="button" dataOnly="0" labelOnly="1" outline="0" axis="axisRow" fieldPosition="0"/>
    </format>
    <format dxfId="171">
      <pivotArea dataOnly="0" labelOnly="1" fieldPosition="0">
        <references count="1">
          <reference field="4" count="0"/>
        </references>
      </pivotArea>
    </format>
    <format dxfId="170">
      <pivotArea dataOnly="0" labelOnly="1" grandRow="1" outline="0"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4" type="button" dataOnly="0" labelOnly="1" outline="0" axis="axisRow" fieldPosition="0"/>
    </format>
    <format dxfId="165">
      <pivotArea dataOnly="0" labelOnly="1" fieldPosition="0">
        <references count="1">
          <reference field="4" count="0"/>
        </references>
      </pivotArea>
    </format>
    <format dxfId="164">
      <pivotArea dataOnly="0" labelOnly="1" grandRow="1" outline="0"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4" type="button" dataOnly="0" labelOnly="1" outline="0" axis="axisRow" fieldPosition="0"/>
    </format>
    <format dxfId="159">
      <pivotArea dataOnly="0" labelOnly="1" fieldPosition="0">
        <references count="1">
          <reference field="4" count="0"/>
        </references>
      </pivotArea>
    </format>
    <format dxfId="158">
      <pivotArea dataOnly="0" labelOnly="1" grandRow="1" outline="0" fieldPosition="0"/>
    </format>
    <format dxfId="1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6E5C6-39FC-46A9-AACB-FC4F32F393B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MONTHS">
  <location ref="B4:C18" firstHeaderRow="1" firstDataRow="1" firstDataCol="1"/>
  <pivotFields count="21">
    <pivotField showAll="0"/>
    <pivotField axis="axisRow" showAll="0">
      <items count="14">
        <item x="0"/>
        <item x="1"/>
        <item x="2"/>
        <item x="3"/>
        <item x="4"/>
        <item x="5"/>
        <item x="6"/>
        <item x="7"/>
        <item x="8"/>
        <item x="9"/>
        <item x="10"/>
        <item x="11"/>
        <item x="12"/>
        <item t="default"/>
      </items>
    </pivotField>
    <pivotField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showAll="0"/>
    <pivotField showAll="0">
      <items count="9">
        <item x="3"/>
        <item x="1"/>
        <item x="6"/>
        <item x="2"/>
        <item x="4"/>
        <item x="5"/>
        <item x="0"/>
        <item x="7"/>
        <item t="default"/>
      </items>
    </pivotField>
    <pivotField showAll="0"/>
    <pivotField showAll="0">
      <items count="7">
        <item x="2"/>
        <item x="0"/>
        <item x="1"/>
        <item x="4"/>
        <item x="3"/>
        <item x="5"/>
        <item t="default"/>
      </items>
    </pivotField>
    <pivotField showAll="0"/>
    <pivotField showAll="0">
      <items count="7">
        <item x="0"/>
        <item x="2"/>
        <item x="4"/>
        <item x="3"/>
        <item x="1"/>
        <item x="5"/>
        <item t="default"/>
      </items>
    </pivotField>
    <pivotField showAll="0">
      <items count="5">
        <item x="1"/>
        <item x="0"/>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Sum of Cost (₹)" fld="16" baseField="0" baseItem="0"/>
  </dataFields>
  <formats count="18">
    <format dxfId="192">
      <pivotArea type="all" dataOnly="0" outline="0" fieldPosition="0"/>
    </format>
    <format dxfId="191">
      <pivotArea outline="0" collapsedLevelsAreSubtotals="1" fieldPosition="0"/>
    </format>
    <format dxfId="190">
      <pivotArea field="1" type="button" dataOnly="0" labelOnly="1" outline="0" axis="axisRow" fieldPosition="0"/>
    </format>
    <format dxfId="189">
      <pivotArea dataOnly="0" labelOnly="1" fieldPosition="0">
        <references count="1">
          <reference field="1" count="0"/>
        </references>
      </pivotArea>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1" type="button" dataOnly="0" labelOnly="1" outline="0" axis="axisRow" fieldPosition="0"/>
    </format>
    <format dxfId="183">
      <pivotArea dataOnly="0" labelOnly="1" fieldPosition="0">
        <references count="1">
          <reference field="1" count="0"/>
        </references>
      </pivotArea>
    </format>
    <format dxfId="182">
      <pivotArea dataOnly="0" labelOnly="1" grandRow="1" outline="0"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1" type="button" dataOnly="0" labelOnly="1" outline="0" axis="axisRow" fieldPosition="0"/>
    </format>
    <format dxfId="177">
      <pivotArea dataOnly="0" labelOnly="1" fieldPosition="0">
        <references count="1">
          <reference field="1" count="0"/>
        </references>
      </pivotArea>
    </format>
    <format dxfId="176">
      <pivotArea dataOnly="0" labelOnly="1" grandRow="1" outline="0" fieldPosition="0"/>
    </format>
    <format dxfId="17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E1AAE-4AED-4858-B7A2-903A9A95CD4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GENDER" colHeaderCaption="CATEGORY">
  <location ref="B21:K27" firstHeaderRow="1" firstDataRow="2" firstDataCol="1"/>
  <pivotFields count="21">
    <pivotField showAll="0"/>
    <pivotField showAll="0">
      <items count="14">
        <item x="0"/>
        <item x="1"/>
        <item x="2"/>
        <item x="3"/>
        <item x="4"/>
        <item x="5"/>
        <item x="6"/>
        <item x="7"/>
        <item x="8"/>
        <item x="9"/>
        <item x="10"/>
        <item x="11"/>
        <item x="12"/>
        <item t="default"/>
      </items>
    </pivotField>
    <pivotField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showAll="0"/>
    <pivotField axis="axisCol" dataField="1" showAll="0">
      <items count="9">
        <item x="3"/>
        <item x="1"/>
        <item x="6"/>
        <item x="2"/>
        <item x="4"/>
        <item x="5"/>
        <item x="0"/>
        <item x="7"/>
        <item t="default"/>
      </items>
    </pivotField>
    <pivotField showAll="0"/>
    <pivotField showAll="0">
      <items count="7">
        <item x="2"/>
        <item x="0"/>
        <item x="1"/>
        <item x="4"/>
        <item x="3"/>
        <item x="5"/>
        <item t="default"/>
      </items>
    </pivotField>
    <pivotField showAll="0"/>
    <pivotField showAll="0">
      <items count="7">
        <item x="0"/>
        <item x="2"/>
        <item x="4"/>
        <item x="3"/>
        <item x="1"/>
        <item x="5"/>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Fields count="1">
    <field x="4"/>
  </colFields>
  <colItems count="9">
    <i>
      <x/>
    </i>
    <i>
      <x v="1"/>
    </i>
    <i>
      <x v="2"/>
    </i>
    <i>
      <x v="3"/>
    </i>
    <i>
      <x v="4"/>
    </i>
    <i>
      <x v="5"/>
    </i>
    <i>
      <x v="6"/>
    </i>
    <i>
      <x v="7"/>
    </i>
    <i t="grand">
      <x/>
    </i>
  </colItems>
  <dataFields count="1">
    <dataField name="Count of Category" fld="4" subtotal="count" baseField="0" baseItem="0"/>
  </dataFields>
  <formats count="13">
    <format dxfId="205">
      <pivotArea type="all" dataOnly="0" outline="0" fieldPosition="0"/>
    </format>
    <format dxfId="204">
      <pivotArea outline="0" collapsedLevelsAreSubtotals="1" fieldPosition="0"/>
    </format>
    <format dxfId="203">
      <pivotArea type="origin" dataOnly="0" labelOnly="1" outline="0" fieldPosition="0"/>
    </format>
    <format dxfId="202">
      <pivotArea field="4" type="button" dataOnly="0" labelOnly="1" outline="0" axis="axisCol" fieldPosition="0"/>
    </format>
    <format dxfId="201">
      <pivotArea type="topRight" dataOnly="0" labelOnly="1" outline="0" fieldPosition="0"/>
    </format>
    <format dxfId="200">
      <pivotArea field="9" type="button" dataOnly="0" labelOnly="1" outline="0" axis="axisRow" fieldPosition="0"/>
    </format>
    <format dxfId="199">
      <pivotArea dataOnly="0" labelOnly="1" fieldPosition="0">
        <references count="1">
          <reference field="9" count="0"/>
        </references>
      </pivotArea>
    </format>
    <format dxfId="198">
      <pivotArea dataOnly="0" labelOnly="1" grandRow="1" outline="0" fieldPosition="0"/>
    </format>
    <format dxfId="197">
      <pivotArea dataOnly="0" labelOnly="1" fieldPosition="0">
        <references count="1">
          <reference field="4" count="0"/>
        </references>
      </pivotArea>
    </format>
    <format dxfId="196">
      <pivotArea dataOnly="0" labelOnly="1" grandCol="1" outline="0" fieldPosition="0"/>
    </format>
    <format dxfId="195">
      <pivotArea type="all" dataOnly="0" outline="0" fieldPosition="0"/>
    </format>
    <format dxfId="194">
      <pivotArea type="all" dataOnly="0" outline="0" fieldPosition="0"/>
    </format>
    <format dxfId="193">
      <pivotArea type="all" dataOnly="0" outline="0" fieldPosition="0"/>
    </format>
  </formats>
  <chartFormats count="9">
    <chartFormat chart="3" format="14" series="1">
      <pivotArea type="data" outline="0" fieldPosition="0">
        <references count="2">
          <reference field="4294967294" count="1" selected="0">
            <x v="0"/>
          </reference>
          <reference field="4" count="1" selected="0">
            <x v="0"/>
          </reference>
        </references>
      </pivotArea>
    </chartFormat>
    <chartFormat chart="3" format="15" series="1">
      <pivotArea type="data" outline="0" fieldPosition="0">
        <references count="2">
          <reference field="4294967294" count="1" selected="0">
            <x v="0"/>
          </reference>
          <reference field="4" count="1" selected="0">
            <x v="1"/>
          </reference>
        </references>
      </pivotArea>
    </chartFormat>
    <chartFormat chart="3" format="16" series="1">
      <pivotArea type="data" outline="0" fieldPosition="0">
        <references count="2">
          <reference field="4294967294" count="1" selected="0">
            <x v="0"/>
          </reference>
          <reference field="4" count="1" selected="0">
            <x v="2"/>
          </reference>
        </references>
      </pivotArea>
    </chartFormat>
    <chartFormat chart="3" format="17" series="1">
      <pivotArea type="data" outline="0" fieldPosition="0">
        <references count="2">
          <reference field="4294967294" count="1" selected="0">
            <x v="0"/>
          </reference>
          <reference field="4" count="1" selected="0">
            <x v="3"/>
          </reference>
        </references>
      </pivotArea>
    </chartFormat>
    <chartFormat chart="3" format="18" series="1">
      <pivotArea type="data" outline="0" fieldPosition="0">
        <references count="2">
          <reference field="4294967294" count="1" selected="0">
            <x v="0"/>
          </reference>
          <reference field="4" count="1" selected="0">
            <x v="4"/>
          </reference>
        </references>
      </pivotArea>
    </chartFormat>
    <chartFormat chart="3" format="19" series="1">
      <pivotArea type="data" outline="0" fieldPosition="0">
        <references count="2">
          <reference field="4294967294" count="1" selected="0">
            <x v="0"/>
          </reference>
          <reference field="4" count="1" selected="0">
            <x v="5"/>
          </reference>
        </references>
      </pivotArea>
    </chartFormat>
    <chartFormat chart="3" format="20" series="1">
      <pivotArea type="data" outline="0" fieldPosition="0">
        <references count="2">
          <reference field="4294967294" count="1" selected="0">
            <x v="0"/>
          </reference>
          <reference field="4" count="1" selected="0">
            <x v="6"/>
          </reference>
        </references>
      </pivotArea>
    </chartFormat>
    <chartFormat chart="3" format="21" series="1">
      <pivotArea type="data" outline="0" fieldPosition="0">
        <references count="2">
          <reference field="4294967294" count="1" selected="0">
            <x v="0"/>
          </reference>
          <reference field="4" count="1" selected="0">
            <x v="7"/>
          </reference>
        </references>
      </pivotArea>
    </chartFormat>
    <chartFormat chart="3"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59500F-5E71-4516-9AA9-2FC21E9B8BD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AYMENT MODE">
  <location ref="N4:O11" firstHeaderRow="1" firstDataRow="1" firstDataCol="1"/>
  <pivotFields count="21">
    <pivotField showAll="0"/>
    <pivotField showAll="0">
      <items count="14">
        <item x="0"/>
        <item x="1"/>
        <item x="2"/>
        <item x="3"/>
        <item x="4"/>
        <item x="5"/>
        <item x="6"/>
        <item x="7"/>
        <item x="8"/>
        <item x="9"/>
        <item x="10"/>
        <item x="11"/>
        <item x="12"/>
        <item t="default"/>
      </items>
    </pivotField>
    <pivotField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showAll="0"/>
    <pivotField showAll="0">
      <items count="9">
        <item x="3"/>
        <item x="1"/>
        <item x="6"/>
        <item x="2"/>
        <item x="4"/>
        <item x="5"/>
        <item x="0"/>
        <item x="7"/>
        <item t="default"/>
      </items>
    </pivotField>
    <pivotField showAll="0"/>
    <pivotField showAll="0">
      <items count="7">
        <item x="2"/>
        <item x="0"/>
        <item x="1"/>
        <item x="4"/>
        <item x="3"/>
        <item x="5"/>
        <item t="default"/>
      </items>
    </pivotField>
    <pivotField showAll="0"/>
    <pivotField axis="axisRow" showAll="0">
      <items count="7">
        <item x="0"/>
        <item x="2"/>
        <item x="4"/>
        <item x="3"/>
        <item x="1"/>
        <item x="5"/>
        <item t="default"/>
      </items>
    </pivotField>
    <pivotField showAll="0">
      <items count="5">
        <item x="1"/>
        <item x="0"/>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Average of Cost (₹)" fld="16" subtotal="average" baseField="8" baseItem="0"/>
  </dataFields>
  <formats count="24">
    <format dxfId="229">
      <pivotArea type="all" dataOnly="0" outline="0" fieldPosition="0"/>
    </format>
    <format dxfId="228">
      <pivotArea outline="0" collapsedLevelsAreSubtotals="1" fieldPosition="0"/>
    </format>
    <format dxfId="227">
      <pivotArea field="8" type="button" dataOnly="0" labelOnly="1" outline="0" axis="axisRow" fieldPosition="0"/>
    </format>
    <format dxfId="226">
      <pivotArea dataOnly="0" labelOnly="1" fieldPosition="0">
        <references count="1">
          <reference field="8" count="0"/>
        </references>
      </pivotArea>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8" type="button" dataOnly="0" labelOnly="1" outline="0" axis="axisRow" fieldPosition="0"/>
    </format>
    <format dxfId="220">
      <pivotArea dataOnly="0" labelOnly="1" fieldPosition="0">
        <references count="1">
          <reference field="8" count="0"/>
        </references>
      </pivotArea>
    </format>
    <format dxfId="219">
      <pivotArea dataOnly="0" labelOnly="1" grandRow="1" outline="0" fieldPosition="0"/>
    </format>
    <format dxfId="218">
      <pivotArea dataOnly="0" labelOnly="1" outline="0" axis="axisValues" fieldPosition="0"/>
    </format>
    <format dxfId="217">
      <pivotArea type="all" dataOnly="0" outline="0" fieldPosition="0"/>
    </format>
    <format dxfId="216">
      <pivotArea outline="0" collapsedLevelsAreSubtotals="1" fieldPosition="0"/>
    </format>
    <format dxfId="215">
      <pivotArea field="8" type="button" dataOnly="0" labelOnly="1" outline="0" axis="axisRow" fieldPosition="0"/>
    </format>
    <format dxfId="214">
      <pivotArea dataOnly="0" labelOnly="1" fieldPosition="0">
        <references count="1">
          <reference field="8" count="0"/>
        </references>
      </pivotArea>
    </format>
    <format dxfId="213">
      <pivotArea dataOnly="0" labelOnly="1" grandRow="1" outline="0"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field="8" type="button" dataOnly="0" labelOnly="1" outline="0" axis="axisRow" fieldPosition="0"/>
    </format>
    <format dxfId="208">
      <pivotArea dataOnly="0" labelOnly="1" fieldPosition="0">
        <references count="1">
          <reference field="8" count="0"/>
        </references>
      </pivotArea>
    </format>
    <format dxfId="207">
      <pivotArea dataOnly="0" labelOnly="1" grandRow="1" outline="0" fieldPosition="0"/>
    </format>
    <format dxfId="206">
      <pivotArea dataOnly="0" labelOnly="1" outline="0" axis="axisValues"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1" xr10:uid="{2F29C223-BF36-4A06-B2BA-66F739F4D585}" sourceName="ORDER MONTH">
  <pivotTables>
    <pivotTable tabId="4" name="PivotTable1"/>
    <pivotTable tabId="4" name="PivotTable2"/>
    <pivotTable tabId="4" name="PivotTable3"/>
    <pivotTable tabId="4" name="PivotTable4"/>
    <pivotTable tabId="4" name="PivotTable5"/>
    <pivotTable tabId="4" name="PivotTable6"/>
  </pivotTables>
  <data>
    <tabular pivotCacheId="651658178">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0E4C9B2-8D91-47DE-AFDE-A434F1F6DE50}" sourceName="Region">
  <pivotTables>
    <pivotTable tabId="4" name="PivotTable1"/>
    <pivotTable tabId="4" name="PivotTable2"/>
    <pivotTable tabId="4" name="PivotTable3"/>
    <pivotTable tabId="4" name="PivotTable4"/>
    <pivotTable tabId="4" name="PivotTable5"/>
    <pivotTable tabId="4" name="PivotTable6"/>
  </pivotTables>
  <data>
    <tabular pivotCacheId="651658178">
      <items count="6">
        <i x="2" s="1"/>
        <i x="0" s="1"/>
        <i x="1" s="1"/>
        <i x="4"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D67ECDB-DB51-4FD5-BA8D-87C34339FEDD}" sourceName="Category">
  <pivotTables>
    <pivotTable tabId="4" name="PivotTable1"/>
    <pivotTable tabId="4" name="PivotTable2"/>
    <pivotTable tabId="4" name="PivotTable3"/>
    <pivotTable tabId="4" name="PivotTable4"/>
    <pivotTable tabId="4" name="PivotTable5"/>
    <pivotTable tabId="4" name="PivotTable6"/>
  </pivotTables>
  <data>
    <tabular pivotCacheId="651658178">
      <items count="8">
        <i x="3" s="1"/>
        <i x="1" s="1"/>
        <i x="6" s="1"/>
        <i x="2" s="1"/>
        <i x="4" s="1"/>
        <i x="5" s="1"/>
        <i x="0"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2539812-4B15-4D02-9C99-C4C885E5DB0C}" sourceName="Gender">
  <pivotTables>
    <pivotTable tabId="4" name="PivotTable1"/>
    <pivotTable tabId="4" name="PivotTable2"/>
    <pivotTable tabId="4" name="PivotTable3"/>
    <pivotTable tabId="4" name="PivotTable4"/>
    <pivotTable tabId="4" name="PivotTable5"/>
    <pivotTable tabId="4" name="PivotTable6"/>
  </pivotTables>
  <data>
    <tabular pivotCacheId="651658178">
      <items count="4">
        <i x="1" s="1"/>
        <i x="0"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72D64793-77A7-4489-A54B-AF7710C68DD1}" sourceName="Payment Mode">
  <pivotTables>
    <pivotTable tabId="4" name="PivotTable5"/>
    <pivotTable tabId="4" name="PivotTable1"/>
    <pivotTable tabId="4" name="PivotTable2"/>
    <pivotTable tabId="4" name="PivotTable3"/>
    <pivotTable tabId="4" name="PivotTable4"/>
    <pivotTable tabId="4" name="PivotTable6"/>
  </pivotTables>
  <data>
    <tabular pivotCacheId="651658178">
      <items count="6">
        <i x="0" s="1"/>
        <i x="2" s="1"/>
        <i x="4" s="1"/>
        <i x="3"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E5AAC20C-A507-4831-A11A-D186F420BBC1}" cache="Slicer_ORDER_MONTH1" caption="ORDER MONTH" columnCount="7" style="SlicerStyleDark4" rowHeight="252000"/>
  <slicer name="Region" xr10:uid="{F499ABE0-4A74-4B1B-833B-DEA6F53E93F2}" cache="Slicer_Region1" caption="Region" columnCount="4" style="SlicerStyleDark3" rowHeight="241300"/>
  <slicer name="Category" xr10:uid="{EC00DC6D-C981-4326-92C4-7F024D457B68}" cache="Slicer_Category1" caption="Category" columnCount="6" style="SlicerStyleDark6" rowHeight="288000"/>
  <slicer name="Gender" xr10:uid="{D9F97BA9-FA2A-407E-B731-AB550F3292C9}" cache="Slicer_Gender1" caption="Gender" columnCount="3" style="SlicerStyleOther1" rowHeight="241300"/>
  <slicer name="Payment Mode" xr10:uid="{E265FB50-F7D3-470E-8695-0055AD7BA026}" cache="Slicer_Payment_Mode1" caption="Payment Mode" columnCount="4"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BC10CE-670F-4AB2-9F8C-1A5875CA06E0}" name="Table2" displayName="Table2" ref="A1:U502" totalsRowShown="0">
  <autoFilter ref="A1:U502" xr:uid="{A1BC10CE-670F-4AB2-9F8C-1A5875CA06E0}"/>
  <tableColumns count="21">
    <tableColumn id="1" xr3:uid="{94D7009F-0305-4D2D-9EA4-61A36B77AF10}" name="Order ID"/>
    <tableColumn id="2" xr3:uid="{F7F8739F-C21B-462E-8F4D-D86E93F2D195}" name="ORDER MONTH"/>
    <tableColumn id="3" xr3:uid="{97B48B1A-98E4-4416-A9BC-3956833FF089}" name="Order Date" dataDxfId="230"/>
    <tableColumn id="4" xr3:uid="{0BEF11B8-7183-4F1A-AF72-09E46A192B49}" name="Project Name"/>
    <tableColumn id="5" xr3:uid="{0284AA74-ED2C-4A6B-B930-4C1AEEFC759F}" name="Category"/>
    <tableColumn id="6" xr3:uid="{93755C85-9D44-4A85-A7B8-63599A1996DB}" name="Brand"/>
    <tableColumn id="7" xr3:uid="{FF3B4E90-E08F-4D23-9B24-03CD926E6EB5}" name="Region"/>
    <tableColumn id="8" xr3:uid="{16FB1B2B-5E5D-405E-8613-5996997C71DF}" name="Channel"/>
    <tableColumn id="9" xr3:uid="{FF53C638-B9EC-481F-85A6-A8DC6A4FEFEB}" name="Payment Mode"/>
    <tableColumn id="10" xr3:uid="{1CF60BA4-D723-4DB1-B919-138E6125D3A4}" name="Gender"/>
    <tableColumn id="11" xr3:uid="{45B72BD1-A53C-4062-AF21-9BBA3CFF23B9}" name="Units Sold"/>
    <tableColumn id="12" xr3:uid="{4FA6519F-30D5-4442-909B-FF049BC5C177}" name="Unit Price (₹)"/>
    <tableColumn id="13" xr3:uid="{44A3DA76-014C-42C3-8013-630EA526707C}" name="Revenue (₹)"/>
    <tableColumn id="14" xr3:uid="{975B8DDA-E16D-4BFF-8F88-913488CCA42B}" name="Discount (%)"/>
    <tableColumn id="15" xr3:uid="{D0074557-68F1-43BA-B538-D78FFEDE43D6}" name="Discount Amount (₹)"/>
    <tableColumn id="16" xr3:uid="{90F9E499-E618-4689-A146-E489B089BC29}" name="Net Revenue (₹)"/>
    <tableColumn id="17" xr3:uid="{09CAB49B-2153-4FE9-91E3-4B88CC78567B}" name="Cost (₹)"/>
    <tableColumn id="18" xr3:uid="{2309AE4C-3DBB-4C97-910E-A2434E37A2D0}" name="Gross Profit (₹)"/>
    <tableColumn id="19" xr3:uid="{E8C7B543-4AA0-47A7-B61E-C5D250115061}" name="Returns"/>
    <tableColumn id="20" xr3:uid="{8004AFD9-B405-453A-A716-E19683A0A225}" name="Return Amount (₹)"/>
    <tableColumn id="21" xr3:uid="{1EC89D83-0EA0-402D-8875-1F9831F31FCB}" name="Customer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10316AF9-F8A3-4F57-A97D-0F5C63E34A94}" sourceName="Order Date">
  <pivotTables>
    <pivotTable tabId="4" name="PivotTable1"/>
    <pivotTable tabId="4" name="PivotTable2"/>
    <pivotTable tabId="4" name="PivotTable3"/>
    <pivotTable tabId="4" name="PivotTable4"/>
    <pivotTable tabId="4" name="PivotTable5"/>
    <pivotTable tabId="4" name="PivotTable6"/>
  </pivotTables>
  <state minimalRefreshVersion="6" lastRefreshVersion="6" pivotCacheId="65165817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2C18A4D-CC80-4E99-8292-E3C230E2FFC0}" cache="NativeTimeline_Order_Date1" caption="Order Date" level="1" selectionLevel="2" scrollPosition="2023-01-01T00:00:00" style="TimeSlicerStyleDark2"/>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01"/>
  <sheetViews>
    <sheetView zoomScaleNormal="100" workbookViewId="0">
      <pane ySplit="1" topLeftCell="A18" activePane="bottomLeft" state="frozen"/>
      <selection pane="bottomLeft" activeCell="M1" sqref="M1"/>
    </sheetView>
  </sheetViews>
  <sheetFormatPr defaultColWidth="8.6328125" defaultRowHeight="14.5" x14ac:dyDescent="0.35"/>
  <cols>
    <col min="1" max="2" width="12" customWidth="1"/>
    <col min="3" max="3" width="14" style="8" customWidth="1"/>
    <col min="4" max="4" width="22" customWidth="1"/>
    <col min="5" max="6" width="14" customWidth="1"/>
    <col min="7" max="7" width="10" customWidth="1"/>
    <col min="8" max="8" width="12" customWidth="1"/>
    <col min="9" max="9" width="14" customWidth="1"/>
    <col min="10" max="11" width="10" customWidth="1"/>
    <col min="12" max="13" width="14" customWidth="1"/>
    <col min="14" max="14" width="12" customWidth="1"/>
    <col min="15" max="15" width="16" customWidth="1"/>
    <col min="16" max="16" width="14" customWidth="1"/>
    <col min="17" max="17" width="12" customWidth="1"/>
    <col min="18" max="18" width="14" customWidth="1"/>
    <col min="19" max="19" width="10" customWidth="1"/>
    <col min="20" max="21" width="14" customWidth="1"/>
  </cols>
  <sheetData>
    <row r="1" spans="1:21" ht="30" customHeight="1" x14ac:dyDescent="0.35">
      <c r="A1" s="9" t="s">
        <v>72</v>
      </c>
      <c r="B1" s="9" t="s">
        <v>73</v>
      </c>
      <c r="C1" s="10" t="s">
        <v>74</v>
      </c>
      <c r="D1" s="9" t="s">
        <v>75</v>
      </c>
      <c r="E1" s="9" t="s">
        <v>76</v>
      </c>
      <c r="F1" s="9" t="s">
        <v>77</v>
      </c>
      <c r="G1" s="9" t="s">
        <v>78</v>
      </c>
      <c r="H1" s="11" t="s">
        <v>79</v>
      </c>
      <c r="I1" s="9" t="s">
        <v>80</v>
      </c>
      <c r="J1" s="9" t="s">
        <v>81</v>
      </c>
      <c r="K1" s="9" t="s">
        <v>82</v>
      </c>
      <c r="L1" s="9" t="s">
        <v>83</v>
      </c>
      <c r="M1" s="9" t="s">
        <v>615</v>
      </c>
      <c r="N1" s="9" t="s">
        <v>84</v>
      </c>
      <c r="O1" s="9" t="s">
        <v>85</v>
      </c>
      <c r="P1" s="9" t="s">
        <v>86</v>
      </c>
      <c r="Q1" s="9" t="s">
        <v>87</v>
      </c>
      <c r="R1" s="9" t="s">
        <v>88</v>
      </c>
      <c r="S1" s="9" t="s">
        <v>89</v>
      </c>
      <c r="T1" s="9" t="s">
        <v>90</v>
      </c>
      <c r="U1" s="9" t="s">
        <v>91</v>
      </c>
    </row>
    <row r="2" spans="1:21" x14ac:dyDescent="0.35">
      <c r="A2" s="12" t="s">
        <v>92</v>
      </c>
      <c r="B2" s="12" t="str">
        <f t="shared" ref="B2:B65" si="0">TEXT(C2,"MMMM")</f>
        <v>January</v>
      </c>
      <c r="C2" s="13">
        <v>44927</v>
      </c>
      <c r="D2" s="14" t="s">
        <v>93</v>
      </c>
      <c r="E2" s="14" t="s">
        <v>48</v>
      </c>
      <c r="F2" s="14" t="s">
        <v>94</v>
      </c>
      <c r="G2" s="14" t="s">
        <v>51</v>
      </c>
      <c r="H2" s="14" t="s">
        <v>66</v>
      </c>
      <c r="I2" s="14" t="s">
        <v>65</v>
      </c>
      <c r="J2" s="14" t="s">
        <v>95</v>
      </c>
      <c r="K2" s="12">
        <v>11</v>
      </c>
      <c r="L2" s="15">
        <v>3440</v>
      </c>
      <c r="M2" s="15">
        <v>37840</v>
      </c>
      <c r="N2" s="16">
        <v>50</v>
      </c>
      <c r="O2" s="15">
        <v>18920</v>
      </c>
      <c r="P2" s="15">
        <v>18920</v>
      </c>
      <c r="Q2" s="15">
        <v>13124</v>
      </c>
      <c r="R2" s="15">
        <v>5796</v>
      </c>
      <c r="S2" s="12">
        <v>0</v>
      </c>
      <c r="T2" s="15">
        <v>0</v>
      </c>
      <c r="U2" s="17">
        <v>4.9000000000000004</v>
      </c>
    </row>
    <row r="3" spans="1:21" x14ac:dyDescent="0.35">
      <c r="A3" s="18" t="s">
        <v>96</v>
      </c>
      <c r="B3" s="12" t="str">
        <f t="shared" si="0"/>
        <v>January</v>
      </c>
      <c r="C3" s="19">
        <v>44928</v>
      </c>
      <c r="D3" s="20" t="s">
        <v>97</v>
      </c>
      <c r="E3" s="20" t="s">
        <v>50</v>
      </c>
      <c r="F3" s="20" t="s">
        <v>98</v>
      </c>
      <c r="G3" s="20" t="s">
        <v>53</v>
      </c>
      <c r="H3" s="20" t="s">
        <v>66</v>
      </c>
      <c r="I3" s="20" t="s">
        <v>71</v>
      </c>
      <c r="J3" s="20" t="s">
        <v>99</v>
      </c>
      <c r="K3" s="18">
        <v>4</v>
      </c>
      <c r="L3" s="21">
        <v>755</v>
      </c>
      <c r="M3" s="21">
        <v>3020</v>
      </c>
      <c r="N3" s="22">
        <v>15</v>
      </c>
      <c r="O3" s="21">
        <v>453</v>
      </c>
      <c r="P3" s="21">
        <v>2567</v>
      </c>
      <c r="Q3" s="21">
        <v>1265</v>
      </c>
      <c r="R3" s="21">
        <v>1302</v>
      </c>
      <c r="S3" s="18">
        <v>1</v>
      </c>
      <c r="T3" s="21">
        <v>642</v>
      </c>
      <c r="U3" s="23">
        <v>4.9000000000000004</v>
      </c>
    </row>
    <row r="4" spans="1:21" x14ac:dyDescent="0.35">
      <c r="A4" s="12" t="s">
        <v>100</v>
      </c>
      <c r="B4" s="12" t="str">
        <f t="shared" si="0"/>
        <v>January</v>
      </c>
      <c r="C4" s="13">
        <v>44932</v>
      </c>
      <c r="D4" s="14" t="s">
        <v>101</v>
      </c>
      <c r="E4" s="14" t="s">
        <v>52</v>
      </c>
      <c r="F4" s="14" t="s">
        <v>102</v>
      </c>
      <c r="G4" s="14" t="s">
        <v>53</v>
      </c>
      <c r="H4" s="14" t="s">
        <v>64</v>
      </c>
      <c r="I4" s="14" t="s">
        <v>69</v>
      </c>
      <c r="J4" s="14" t="s">
        <v>103</v>
      </c>
      <c r="K4" s="12">
        <v>9</v>
      </c>
      <c r="L4" s="15">
        <v>2723</v>
      </c>
      <c r="M4" s="15">
        <v>24507</v>
      </c>
      <c r="N4" s="16">
        <v>15</v>
      </c>
      <c r="O4" s="15">
        <v>3676</v>
      </c>
      <c r="P4" s="15">
        <v>20831</v>
      </c>
      <c r="Q4" s="15">
        <v>12578</v>
      </c>
      <c r="R4" s="15">
        <v>8253</v>
      </c>
      <c r="S4" s="12">
        <v>2</v>
      </c>
      <c r="T4" s="15">
        <v>4629</v>
      </c>
      <c r="U4" s="17">
        <v>2.6</v>
      </c>
    </row>
    <row r="5" spans="1:21" x14ac:dyDescent="0.35">
      <c r="A5" s="18" t="s">
        <v>104</v>
      </c>
      <c r="B5" s="12" t="str">
        <f t="shared" si="0"/>
        <v>January</v>
      </c>
      <c r="C5" s="19">
        <v>44934</v>
      </c>
      <c r="D5" s="20" t="s">
        <v>105</v>
      </c>
      <c r="E5" s="20" t="s">
        <v>54</v>
      </c>
      <c r="F5" s="20" t="s">
        <v>106</v>
      </c>
      <c r="G5" s="20" t="s">
        <v>49</v>
      </c>
      <c r="H5" s="20" t="s">
        <v>64</v>
      </c>
      <c r="I5" s="20" t="s">
        <v>65</v>
      </c>
      <c r="J5" s="20" t="s">
        <v>103</v>
      </c>
      <c r="K5" s="18">
        <v>5</v>
      </c>
      <c r="L5" s="21">
        <v>3253</v>
      </c>
      <c r="M5" s="21">
        <v>16265</v>
      </c>
      <c r="N5" s="22">
        <v>50</v>
      </c>
      <c r="O5" s="21">
        <v>8132</v>
      </c>
      <c r="P5" s="21">
        <v>8133</v>
      </c>
      <c r="Q5" s="21">
        <v>5220</v>
      </c>
      <c r="R5" s="21">
        <v>2913</v>
      </c>
      <c r="S5" s="18">
        <v>1</v>
      </c>
      <c r="T5" s="21">
        <v>1626</v>
      </c>
      <c r="U5" s="23">
        <v>4.3</v>
      </c>
    </row>
    <row r="6" spans="1:21" x14ac:dyDescent="0.35">
      <c r="A6" s="12" t="s">
        <v>107</v>
      </c>
      <c r="B6" s="12" t="str">
        <f t="shared" si="0"/>
        <v>January</v>
      </c>
      <c r="C6" s="13">
        <v>44934</v>
      </c>
      <c r="D6" s="14" t="s">
        <v>105</v>
      </c>
      <c r="E6" s="14" t="s">
        <v>52</v>
      </c>
      <c r="F6" s="14" t="s">
        <v>108</v>
      </c>
      <c r="G6" s="14" t="s">
        <v>57</v>
      </c>
      <c r="H6" s="14" t="s">
        <v>64</v>
      </c>
      <c r="I6" s="14" t="s">
        <v>65</v>
      </c>
      <c r="J6" s="14" t="s">
        <v>95</v>
      </c>
      <c r="K6" s="12">
        <v>1</v>
      </c>
      <c r="L6" s="15">
        <v>4853</v>
      </c>
      <c r="M6" s="15">
        <v>4853</v>
      </c>
      <c r="N6" s="16">
        <v>40</v>
      </c>
      <c r="O6" s="15">
        <v>1941</v>
      </c>
      <c r="P6" s="15">
        <v>2912</v>
      </c>
      <c r="Q6" s="15">
        <v>1812</v>
      </c>
      <c r="R6" s="15">
        <v>1100</v>
      </c>
      <c r="S6" s="12">
        <v>0</v>
      </c>
      <c r="T6" s="15">
        <v>0</v>
      </c>
      <c r="U6" s="17">
        <v>3.4</v>
      </c>
    </row>
    <row r="7" spans="1:21" x14ac:dyDescent="0.35">
      <c r="A7" s="18" t="s">
        <v>109</v>
      </c>
      <c r="B7" s="12" t="str">
        <f t="shared" si="0"/>
        <v>January</v>
      </c>
      <c r="C7" s="19">
        <v>44934</v>
      </c>
      <c r="D7" s="20" t="s">
        <v>101</v>
      </c>
      <c r="E7" s="20" t="s">
        <v>56</v>
      </c>
      <c r="F7" s="20" t="s">
        <v>98</v>
      </c>
      <c r="G7" s="20" t="s">
        <v>57</v>
      </c>
      <c r="H7" s="20" t="s">
        <v>64</v>
      </c>
      <c r="I7" s="20" t="s">
        <v>71</v>
      </c>
      <c r="J7" s="20" t="s">
        <v>103</v>
      </c>
      <c r="K7" s="18">
        <v>3</v>
      </c>
      <c r="L7" s="21">
        <v>3397</v>
      </c>
      <c r="M7" s="21">
        <v>10191</v>
      </c>
      <c r="N7" s="22">
        <v>25</v>
      </c>
      <c r="O7" s="21">
        <v>2548</v>
      </c>
      <c r="P7" s="21">
        <v>7643</v>
      </c>
      <c r="Q7" s="21">
        <v>4983</v>
      </c>
      <c r="R7" s="21">
        <v>2660</v>
      </c>
      <c r="S7" s="18">
        <v>1</v>
      </c>
      <c r="T7" s="21">
        <v>2548</v>
      </c>
      <c r="U7" s="23">
        <v>4.5</v>
      </c>
    </row>
    <row r="8" spans="1:21" x14ac:dyDescent="0.35">
      <c r="A8" s="12" t="s">
        <v>110</v>
      </c>
      <c r="B8" s="12" t="str">
        <f t="shared" si="0"/>
        <v>January</v>
      </c>
      <c r="C8" s="13">
        <v>44935</v>
      </c>
      <c r="D8" s="14" t="s">
        <v>93</v>
      </c>
      <c r="E8" s="14" t="s">
        <v>48</v>
      </c>
      <c r="F8" s="14" t="s">
        <v>111</v>
      </c>
      <c r="G8" s="14" t="s">
        <v>53</v>
      </c>
      <c r="H8" s="14" t="s">
        <v>64</v>
      </c>
      <c r="I8" s="14" t="s">
        <v>67</v>
      </c>
      <c r="J8" s="14" t="s">
        <v>95</v>
      </c>
      <c r="K8" s="12">
        <v>4</v>
      </c>
      <c r="L8" s="15">
        <v>4321</v>
      </c>
      <c r="M8" s="15">
        <v>17284</v>
      </c>
      <c r="N8" s="16">
        <v>0</v>
      </c>
      <c r="O8" s="15">
        <v>0</v>
      </c>
      <c r="P8" s="15">
        <v>17284</v>
      </c>
      <c r="Q8" s="15">
        <v>11112</v>
      </c>
      <c r="R8" s="15">
        <v>6172</v>
      </c>
      <c r="S8" s="12">
        <v>1</v>
      </c>
      <c r="T8" s="15">
        <v>4321</v>
      </c>
      <c r="U8" s="17">
        <v>4.8</v>
      </c>
    </row>
    <row r="9" spans="1:21" x14ac:dyDescent="0.35">
      <c r="A9" s="18" t="s">
        <v>112</v>
      </c>
      <c r="B9" s="12" t="str">
        <f t="shared" si="0"/>
        <v>January</v>
      </c>
      <c r="C9" s="19">
        <v>44937</v>
      </c>
      <c r="D9" s="20" t="s">
        <v>113</v>
      </c>
      <c r="E9" s="20" t="s">
        <v>54</v>
      </c>
      <c r="F9" s="20" t="s">
        <v>111</v>
      </c>
      <c r="G9" s="20" t="s">
        <v>57</v>
      </c>
      <c r="H9" s="20" t="s">
        <v>68</v>
      </c>
      <c r="I9" s="20" t="s">
        <v>67</v>
      </c>
      <c r="J9" s="20" t="s">
        <v>95</v>
      </c>
      <c r="K9" s="18">
        <v>7</v>
      </c>
      <c r="L9" s="21">
        <v>4268</v>
      </c>
      <c r="M9" s="21">
        <v>29876</v>
      </c>
      <c r="N9" s="22">
        <v>15</v>
      </c>
      <c r="O9" s="21">
        <v>4481</v>
      </c>
      <c r="P9" s="21">
        <v>25395</v>
      </c>
      <c r="Q9" s="21">
        <v>14194</v>
      </c>
      <c r="R9" s="21">
        <v>11201</v>
      </c>
      <c r="S9" s="18">
        <v>1</v>
      </c>
      <c r="T9" s="21">
        <v>3628</v>
      </c>
      <c r="U9" s="23">
        <v>3.8</v>
      </c>
    </row>
    <row r="10" spans="1:21" x14ac:dyDescent="0.35">
      <c r="A10" s="12" t="s">
        <v>114</v>
      </c>
      <c r="B10" s="12" t="str">
        <f t="shared" si="0"/>
        <v>January</v>
      </c>
      <c r="C10" s="13">
        <v>44938</v>
      </c>
      <c r="D10" s="14" t="s">
        <v>115</v>
      </c>
      <c r="E10" s="14" t="s">
        <v>58</v>
      </c>
      <c r="F10" s="14" t="s">
        <v>116</v>
      </c>
      <c r="G10" s="14" t="s">
        <v>53</v>
      </c>
      <c r="H10" s="14" t="s">
        <v>64</v>
      </c>
      <c r="I10" s="14" t="s">
        <v>71</v>
      </c>
      <c r="J10" s="14" t="s">
        <v>103</v>
      </c>
      <c r="K10" s="12">
        <v>13</v>
      </c>
      <c r="L10" s="15">
        <v>3799</v>
      </c>
      <c r="M10" s="15">
        <v>49387</v>
      </c>
      <c r="N10" s="16">
        <v>0</v>
      </c>
      <c r="O10" s="15">
        <v>0</v>
      </c>
      <c r="P10" s="15">
        <v>49387</v>
      </c>
      <c r="Q10" s="15">
        <v>33467</v>
      </c>
      <c r="R10" s="15">
        <v>15920</v>
      </c>
      <c r="S10" s="12">
        <v>3</v>
      </c>
      <c r="T10" s="15">
        <v>11397</v>
      </c>
      <c r="U10" s="17">
        <v>4.5999999999999996</v>
      </c>
    </row>
    <row r="11" spans="1:21" x14ac:dyDescent="0.35">
      <c r="A11" s="18" t="s">
        <v>117</v>
      </c>
      <c r="B11" s="12" t="str">
        <f t="shared" si="0"/>
        <v>January</v>
      </c>
      <c r="C11" s="19">
        <v>44938</v>
      </c>
      <c r="D11" s="20" t="s">
        <v>105</v>
      </c>
      <c r="E11" s="20" t="s">
        <v>50</v>
      </c>
      <c r="F11" s="20" t="s">
        <v>108</v>
      </c>
      <c r="G11" s="20" t="s">
        <v>49</v>
      </c>
      <c r="H11" s="20" t="s">
        <v>66</v>
      </c>
      <c r="I11" s="20" t="s">
        <v>70</v>
      </c>
      <c r="J11" s="20" t="s">
        <v>103</v>
      </c>
      <c r="K11" s="18">
        <v>2</v>
      </c>
      <c r="L11" s="21">
        <v>512</v>
      </c>
      <c r="M11" s="21">
        <v>1024</v>
      </c>
      <c r="N11" s="22">
        <v>25</v>
      </c>
      <c r="O11" s="21">
        <v>256</v>
      </c>
      <c r="P11" s="21">
        <v>768</v>
      </c>
      <c r="Q11" s="21">
        <v>480</v>
      </c>
      <c r="R11" s="21">
        <v>288</v>
      </c>
      <c r="S11" s="18">
        <v>0</v>
      </c>
      <c r="T11" s="21">
        <v>0</v>
      </c>
      <c r="U11" s="23">
        <v>4.8</v>
      </c>
    </row>
    <row r="12" spans="1:21" x14ac:dyDescent="0.35">
      <c r="A12" s="12" t="s">
        <v>118</v>
      </c>
      <c r="B12" s="12" t="str">
        <f t="shared" si="0"/>
        <v>January</v>
      </c>
      <c r="C12" s="13">
        <v>44938</v>
      </c>
      <c r="D12" s="14" t="s">
        <v>101</v>
      </c>
      <c r="E12" s="14" t="s">
        <v>58</v>
      </c>
      <c r="F12" s="14" t="s">
        <v>94</v>
      </c>
      <c r="G12" s="14" t="s">
        <v>49</v>
      </c>
      <c r="H12" s="14" t="s">
        <v>66</v>
      </c>
      <c r="I12" s="14" t="s">
        <v>70</v>
      </c>
      <c r="J12" s="14" t="s">
        <v>103</v>
      </c>
      <c r="K12" s="12">
        <v>4</v>
      </c>
      <c r="L12" s="15">
        <v>2724</v>
      </c>
      <c r="M12" s="15">
        <v>10896</v>
      </c>
      <c r="N12" s="16">
        <v>50</v>
      </c>
      <c r="O12" s="15">
        <v>5448</v>
      </c>
      <c r="P12" s="15">
        <v>5448</v>
      </c>
      <c r="Q12" s="15">
        <v>2670</v>
      </c>
      <c r="R12" s="15">
        <v>2778</v>
      </c>
      <c r="S12" s="12">
        <v>1</v>
      </c>
      <c r="T12" s="15">
        <v>1362</v>
      </c>
      <c r="U12" s="17">
        <v>4.9000000000000004</v>
      </c>
    </row>
    <row r="13" spans="1:21" x14ac:dyDescent="0.35">
      <c r="A13" s="18" t="s">
        <v>119</v>
      </c>
      <c r="B13" s="12" t="str">
        <f t="shared" si="0"/>
        <v>January</v>
      </c>
      <c r="C13" s="19">
        <v>44938</v>
      </c>
      <c r="D13" s="20" t="s">
        <v>120</v>
      </c>
      <c r="E13" s="20" t="s">
        <v>52</v>
      </c>
      <c r="F13" s="20" t="s">
        <v>106</v>
      </c>
      <c r="G13" s="20" t="s">
        <v>53</v>
      </c>
      <c r="H13" s="20" t="s">
        <v>66</v>
      </c>
      <c r="I13" s="20" t="s">
        <v>69</v>
      </c>
      <c r="J13" s="20" t="s">
        <v>95</v>
      </c>
      <c r="K13" s="18">
        <v>3</v>
      </c>
      <c r="L13" s="21">
        <v>2165</v>
      </c>
      <c r="M13" s="21">
        <v>6495</v>
      </c>
      <c r="N13" s="22">
        <v>5</v>
      </c>
      <c r="O13" s="21">
        <v>325</v>
      </c>
      <c r="P13" s="21">
        <v>6170</v>
      </c>
      <c r="Q13" s="21">
        <v>2875</v>
      </c>
      <c r="R13" s="21">
        <v>3295</v>
      </c>
      <c r="S13" s="18">
        <v>1</v>
      </c>
      <c r="T13" s="21">
        <v>2057</v>
      </c>
      <c r="U13" s="23">
        <v>3.9</v>
      </c>
    </row>
    <row r="14" spans="1:21" x14ac:dyDescent="0.35">
      <c r="A14" s="12" t="s">
        <v>121</v>
      </c>
      <c r="B14" s="12" t="str">
        <f t="shared" si="0"/>
        <v>January</v>
      </c>
      <c r="C14" s="13">
        <v>44939</v>
      </c>
      <c r="D14" s="14" t="s">
        <v>122</v>
      </c>
      <c r="E14" s="14" t="s">
        <v>48</v>
      </c>
      <c r="F14" s="14" t="s">
        <v>98</v>
      </c>
      <c r="G14" s="14" t="s">
        <v>49</v>
      </c>
      <c r="H14" s="14" t="s">
        <v>66</v>
      </c>
      <c r="I14" s="14" t="s">
        <v>70</v>
      </c>
      <c r="J14" s="14" t="s">
        <v>103</v>
      </c>
      <c r="K14" s="12">
        <v>11</v>
      </c>
      <c r="L14" s="15">
        <v>871</v>
      </c>
      <c r="M14" s="15">
        <v>9581</v>
      </c>
      <c r="N14" s="16">
        <v>5</v>
      </c>
      <c r="O14" s="15">
        <v>479</v>
      </c>
      <c r="P14" s="15">
        <v>9102</v>
      </c>
      <c r="Q14" s="15">
        <v>4292</v>
      </c>
      <c r="R14" s="15">
        <v>4810</v>
      </c>
      <c r="S14" s="12">
        <v>2</v>
      </c>
      <c r="T14" s="15">
        <v>1655</v>
      </c>
      <c r="U14" s="17">
        <v>2.8</v>
      </c>
    </row>
    <row r="15" spans="1:21" x14ac:dyDescent="0.35">
      <c r="A15" s="18" t="s">
        <v>123</v>
      </c>
      <c r="B15" s="12" t="str">
        <f t="shared" si="0"/>
        <v>January</v>
      </c>
      <c r="C15" s="19">
        <v>44940</v>
      </c>
      <c r="D15" s="20" t="s">
        <v>115</v>
      </c>
      <c r="E15" s="20" t="s">
        <v>54</v>
      </c>
      <c r="F15" s="20" t="s">
        <v>124</v>
      </c>
      <c r="G15" s="20" t="s">
        <v>49</v>
      </c>
      <c r="H15" s="20" t="s">
        <v>64</v>
      </c>
      <c r="I15" s="20" t="s">
        <v>71</v>
      </c>
      <c r="J15" s="20" t="s">
        <v>95</v>
      </c>
      <c r="K15" s="18">
        <v>14</v>
      </c>
      <c r="L15" s="21">
        <v>3983</v>
      </c>
      <c r="M15" s="21">
        <v>55762</v>
      </c>
      <c r="N15" s="22">
        <v>20</v>
      </c>
      <c r="O15" s="21">
        <v>11152</v>
      </c>
      <c r="P15" s="21">
        <v>44610</v>
      </c>
      <c r="Q15" s="21">
        <v>21553</v>
      </c>
      <c r="R15" s="21">
        <v>23057</v>
      </c>
      <c r="S15" s="18">
        <v>2</v>
      </c>
      <c r="T15" s="21">
        <v>6373</v>
      </c>
      <c r="U15" s="23">
        <v>3.2</v>
      </c>
    </row>
    <row r="16" spans="1:21" x14ac:dyDescent="0.35">
      <c r="A16" s="12" t="s">
        <v>125</v>
      </c>
      <c r="B16" s="12" t="str">
        <f t="shared" si="0"/>
        <v>January</v>
      </c>
      <c r="C16" s="13">
        <v>44941</v>
      </c>
      <c r="D16" s="14" t="s">
        <v>93</v>
      </c>
      <c r="E16" s="14" t="s">
        <v>52</v>
      </c>
      <c r="F16" s="14" t="s">
        <v>108</v>
      </c>
      <c r="G16" s="14" t="s">
        <v>53</v>
      </c>
      <c r="H16" s="14" t="s">
        <v>68</v>
      </c>
      <c r="I16" s="14" t="s">
        <v>67</v>
      </c>
      <c r="J16" s="14" t="s">
        <v>95</v>
      </c>
      <c r="K16" s="12">
        <v>3</v>
      </c>
      <c r="L16" s="15">
        <v>4387</v>
      </c>
      <c r="M16" s="15">
        <v>13161</v>
      </c>
      <c r="N16" s="16">
        <v>30</v>
      </c>
      <c r="O16" s="15">
        <v>3948</v>
      </c>
      <c r="P16" s="15">
        <v>9213</v>
      </c>
      <c r="Q16" s="15">
        <v>4306</v>
      </c>
      <c r="R16" s="15">
        <v>4907</v>
      </c>
      <c r="S16" s="12">
        <v>0</v>
      </c>
      <c r="T16" s="15">
        <v>0</v>
      </c>
      <c r="U16" s="17">
        <v>2.7</v>
      </c>
    </row>
    <row r="17" spans="1:21" x14ac:dyDescent="0.35">
      <c r="A17" s="18" t="s">
        <v>126</v>
      </c>
      <c r="B17" s="12" t="str">
        <f t="shared" si="0"/>
        <v>January</v>
      </c>
      <c r="C17" s="19">
        <v>44941</v>
      </c>
      <c r="D17" s="20" t="s">
        <v>93</v>
      </c>
      <c r="E17" s="20" t="s">
        <v>58</v>
      </c>
      <c r="F17" s="20" t="s">
        <v>111</v>
      </c>
      <c r="G17" s="20" t="s">
        <v>55</v>
      </c>
      <c r="H17" s="20" t="s">
        <v>68</v>
      </c>
      <c r="I17" s="20" t="s">
        <v>69</v>
      </c>
      <c r="J17" s="20" t="s">
        <v>99</v>
      </c>
      <c r="K17" s="18">
        <v>8</v>
      </c>
      <c r="L17" s="21">
        <v>515</v>
      </c>
      <c r="M17" s="21">
        <v>4120</v>
      </c>
      <c r="N17" s="22">
        <v>20</v>
      </c>
      <c r="O17" s="21">
        <v>824</v>
      </c>
      <c r="P17" s="21">
        <v>3296</v>
      </c>
      <c r="Q17" s="21">
        <v>2023</v>
      </c>
      <c r="R17" s="21">
        <v>1273</v>
      </c>
      <c r="S17" s="18">
        <v>0</v>
      </c>
      <c r="T17" s="21">
        <v>0</v>
      </c>
      <c r="U17" s="23">
        <v>4.3</v>
      </c>
    </row>
    <row r="18" spans="1:21" x14ac:dyDescent="0.35">
      <c r="A18" s="12" t="s">
        <v>127</v>
      </c>
      <c r="B18" s="12" t="str">
        <f t="shared" si="0"/>
        <v>January</v>
      </c>
      <c r="C18" s="13">
        <v>44942</v>
      </c>
      <c r="D18" s="14" t="s">
        <v>101</v>
      </c>
      <c r="E18" s="14" t="s">
        <v>52</v>
      </c>
      <c r="F18" s="14" t="s">
        <v>116</v>
      </c>
      <c r="G18" s="14" t="s">
        <v>57</v>
      </c>
      <c r="H18" s="14" t="s">
        <v>68</v>
      </c>
      <c r="I18" s="14" t="s">
        <v>67</v>
      </c>
      <c r="J18" s="14" t="s">
        <v>103</v>
      </c>
      <c r="K18" s="12">
        <v>7</v>
      </c>
      <c r="L18" s="15">
        <v>2207</v>
      </c>
      <c r="M18" s="15">
        <v>15449</v>
      </c>
      <c r="N18" s="16">
        <v>30</v>
      </c>
      <c r="O18" s="15">
        <v>4635</v>
      </c>
      <c r="P18" s="15">
        <v>10814</v>
      </c>
      <c r="Q18" s="15">
        <v>6340</v>
      </c>
      <c r="R18" s="15">
        <v>4474</v>
      </c>
      <c r="S18" s="12">
        <v>0</v>
      </c>
      <c r="T18" s="15">
        <v>0</v>
      </c>
      <c r="U18" s="17">
        <v>3.7</v>
      </c>
    </row>
    <row r="19" spans="1:21" x14ac:dyDescent="0.35">
      <c r="A19" s="18" t="s">
        <v>128</v>
      </c>
      <c r="B19" s="12" t="str">
        <f t="shared" si="0"/>
        <v>January</v>
      </c>
      <c r="C19" s="19">
        <v>44944</v>
      </c>
      <c r="D19" s="20" t="s">
        <v>115</v>
      </c>
      <c r="E19" s="20" t="s">
        <v>48</v>
      </c>
      <c r="F19" s="20" t="s">
        <v>94</v>
      </c>
      <c r="G19" s="20" t="s">
        <v>51</v>
      </c>
      <c r="H19" s="20" t="s">
        <v>64</v>
      </c>
      <c r="I19" s="20" t="s">
        <v>67</v>
      </c>
      <c r="J19" s="20" t="s">
        <v>99</v>
      </c>
      <c r="K19" s="18">
        <v>12</v>
      </c>
      <c r="L19" s="21">
        <v>2252</v>
      </c>
      <c r="M19" s="21">
        <v>27024</v>
      </c>
      <c r="N19" s="22">
        <v>15</v>
      </c>
      <c r="O19" s="21">
        <v>4054</v>
      </c>
      <c r="P19" s="21">
        <v>22970</v>
      </c>
      <c r="Q19" s="21">
        <v>11095</v>
      </c>
      <c r="R19" s="21">
        <v>11875</v>
      </c>
      <c r="S19" s="18">
        <v>2</v>
      </c>
      <c r="T19" s="21">
        <v>3828</v>
      </c>
      <c r="U19" s="23">
        <v>3.8</v>
      </c>
    </row>
    <row r="20" spans="1:21" x14ac:dyDescent="0.35">
      <c r="A20" s="12" t="s">
        <v>129</v>
      </c>
      <c r="B20" s="12" t="str">
        <f t="shared" si="0"/>
        <v>January</v>
      </c>
      <c r="C20" s="13">
        <v>44945</v>
      </c>
      <c r="D20" s="14" t="s">
        <v>93</v>
      </c>
      <c r="E20" s="14" t="s">
        <v>58</v>
      </c>
      <c r="F20" s="14" t="s">
        <v>116</v>
      </c>
      <c r="G20" s="14" t="s">
        <v>55</v>
      </c>
      <c r="H20" s="14" t="s">
        <v>64</v>
      </c>
      <c r="I20" s="14" t="s">
        <v>67</v>
      </c>
      <c r="J20" s="14" t="s">
        <v>95</v>
      </c>
      <c r="K20" s="12">
        <v>1</v>
      </c>
      <c r="L20" s="15">
        <v>1701</v>
      </c>
      <c r="M20" s="15">
        <v>1701</v>
      </c>
      <c r="N20" s="16">
        <v>5</v>
      </c>
      <c r="O20" s="15">
        <v>85</v>
      </c>
      <c r="P20" s="15">
        <v>1616</v>
      </c>
      <c r="Q20" s="15">
        <v>1102</v>
      </c>
      <c r="R20" s="15">
        <v>514</v>
      </c>
      <c r="S20" s="12">
        <v>1</v>
      </c>
      <c r="T20" s="15">
        <v>1616</v>
      </c>
      <c r="U20" s="17">
        <v>3.2</v>
      </c>
    </row>
    <row r="21" spans="1:21" x14ac:dyDescent="0.35">
      <c r="A21" s="18" t="s">
        <v>130</v>
      </c>
      <c r="B21" s="12" t="str">
        <f t="shared" si="0"/>
        <v>January</v>
      </c>
      <c r="C21" s="19">
        <v>44945</v>
      </c>
      <c r="D21" s="20" t="s">
        <v>131</v>
      </c>
      <c r="E21" s="20" t="s">
        <v>48</v>
      </c>
      <c r="F21" s="20" t="s">
        <v>102</v>
      </c>
      <c r="G21" s="20" t="s">
        <v>49</v>
      </c>
      <c r="H21" s="20" t="s">
        <v>64</v>
      </c>
      <c r="I21" s="20" t="s">
        <v>71</v>
      </c>
      <c r="J21" s="20" t="s">
        <v>103</v>
      </c>
      <c r="K21" s="18">
        <v>11</v>
      </c>
      <c r="L21" s="21">
        <v>1731</v>
      </c>
      <c r="M21" s="21">
        <v>19041</v>
      </c>
      <c r="N21" s="22">
        <v>50</v>
      </c>
      <c r="O21" s="21">
        <v>9520</v>
      </c>
      <c r="P21" s="21">
        <v>9521</v>
      </c>
      <c r="Q21" s="21">
        <v>5623</v>
      </c>
      <c r="R21" s="21">
        <v>3898</v>
      </c>
      <c r="S21" s="18">
        <v>2</v>
      </c>
      <c r="T21" s="21">
        <v>1731</v>
      </c>
      <c r="U21" s="23">
        <v>4.2</v>
      </c>
    </row>
    <row r="22" spans="1:21" x14ac:dyDescent="0.35">
      <c r="A22" s="12" t="s">
        <v>132</v>
      </c>
      <c r="B22" s="12" t="str">
        <f t="shared" si="0"/>
        <v>January</v>
      </c>
      <c r="C22" s="13">
        <v>44946</v>
      </c>
      <c r="D22" s="14" t="s">
        <v>97</v>
      </c>
      <c r="E22" s="14" t="s">
        <v>50</v>
      </c>
      <c r="F22" s="14" t="s">
        <v>94</v>
      </c>
      <c r="G22" s="14" t="s">
        <v>51</v>
      </c>
      <c r="H22" s="14" t="s">
        <v>64</v>
      </c>
      <c r="I22" s="14" t="s">
        <v>65</v>
      </c>
      <c r="J22" s="14" t="s">
        <v>99</v>
      </c>
      <c r="K22" s="12">
        <v>15</v>
      </c>
      <c r="L22" s="15">
        <v>2049</v>
      </c>
      <c r="M22" s="15">
        <v>30735</v>
      </c>
      <c r="N22" s="16">
        <v>25</v>
      </c>
      <c r="O22" s="15">
        <v>7684</v>
      </c>
      <c r="P22" s="15">
        <v>23051</v>
      </c>
      <c r="Q22" s="15">
        <v>15083</v>
      </c>
      <c r="R22" s="15">
        <v>7968</v>
      </c>
      <c r="S22" s="12">
        <v>2</v>
      </c>
      <c r="T22" s="15">
        <v>3074</v>
      </c>
      <c r="U22" s="17">
        <v>3.3</v>
      </c>
    </row>
    <row r="23" spans="1:21" x14ac:dyDescent="0.35">
      <c r="A23" s="18" t="s">
        <v>133</v>
      </c>
      <c r="B23" s="12" t="str">
        <f t="shared" si="0"/>
        <v>January</v>
      </c>
      <c r="C23" s="19">
        <v>44946</v>
      </c>
      <c r="D23" s="20" t="s">
        <v>101</v>
      </c>
      <c r="E23" s="20" t="s">
        <v>56</v>
      </c>
      <c r="F23" s="20" t="s">
        <v>134</v>
      </c>
      <c r="G23" s="20" t="s">
        <v>55</v>
      </c>
      <c r="H23" s="20" t="s">
        <v>64</v>
      </c>
      <c r="I23" s="20" t="s">
        <v>69</v>
      </c>
      <c r="J23" s="20" t="s">
        <v>99</v>
      </c>
      <c r="K23" s="18">
        <v>6</v>
      </c>
      <c r="L23" s="21">
        <v>4434</v>
      </c>
      <c r="M23" s="21">
        <v>26604</v>
      </c>
      <c r="N23" s="22">
        <v>30</v>
      </c>
      <c r="O23" s="21">
        <v>7981</v>
      </c>
      <c r="P23" s="21">
        <v>18623</v>
      </c>
      <c r="Q23" s="21">
        <v>10320</v>
      </c>
      <c r="R23" s="21">
        <v>8303</v>
      </c>
      <c r="S23" s="18">
        <v>0</v>
      </c>
      <c r="T23" s="21">
        <v>0</v>
      </c>
      <c r="U23" s="23">
        <v>4.7</v>
      </c>
    </row>
    <row r="24" spans="1:21" x14ac:dyDescent="0.35">
      <c r="A24" s="12" t="s">
        <v>135</v>
      </c>
      <c r="B24" s="12" t="str">
        <f t="shared" si="0"/>
        <v>January</v>
      </c>
      <c r="C24" s="13">
        <v>44946</v>
      </c>
      <c r="D24" s="14" t="s">
        <v>93</v>
      </c>
      <c r="E24" s="14" t="s">
        <v>58</v>
      </c>
      <c r="F24" s="14" t="s">
        <v>106</v>
      </c>
      <c r="G24" s="14" t="s">
        <v>49</v>
      </c>
      <c r="H24" s="14" t="s">
        <v>68</v>
      </c>
      <c r="I24" s="14" t="s">
        <v>71</v>
      </c>
      <c r="J24" s="14" t="s">
        <v>95</v>
      </c>
      <c r="K24" s="12">
        <v>13</v>
      </c>
      <c r="L24" s="15">
        <v>2568</v>
      </c>
      <c r="M24" s="15">
        <v>33384</v>
      </c>
      <c r="N24" s="16">
        <v>50</v>
      </c>
      <c r="O24" s="15">
        <v>16692</v>
      </c>
      <c r="P24" s="15">
        <v>16692</v>
      </c>
      <c r="Q24" s="15">
        <v>8154</v>
      </c>
      <c r="R24" s="15">
        <v>8538</v>
      </c>
      <c r="S24" s="12">
        <v>2</v>
      </c>
      <c r="T24" s="15">
        <v>2568</v>
      </c>
      <c r="U24" s="17">
        <v>4.8</v>
      </c>
    </row>
    <row r="25" spans="1:21" x14ac:dyDescent="0.35">
      <c r="A25" s="18" t="s">
        <v>136</v>
      </c>
      <c r="B25" s="12" t="str">
        <f t="shared" si="0"/>
        <v>January</v>
      </c>
      <c r="C25" s="19">
        <v>44949</v>
      </c>
      <c r="D25" s="20" t="s">
        <v>113</v>
      </c>
      <c r="E25" s="20" t="s">
        <v>54</v>
      </c>
      <c r="F25" s="20" t="s">
        <v>124</v>
      </c>
      <c r="G25" s="20" t="s">
        <v>55</v>
      </c>
      <c r="H25" s="20" t="s">
        <v>68</v>
      </c>
      <c r="I25" s="20" t="s">
        <v>70</v>
      </c>
      <c r="J25" s="20" t="s">
        <v>99</v>
      </c>
      <c r="K25" s="18">
        <v>10</v>
      </c>
      <c r="L25" s="21">
        <v>589</v>
      </c>
      <c r="M25" s="21">
        <v>5890</v>
      </c>
      <c r="N25" s="22">
        <v>5</v>
      </c>
      <c r="O25" s="21">
        <v>294</v>
      </c>
      <c r="P25" s="21">
        <v>5596</v>
      </c>
      <c r="Q25" s="21">
        <v>2638</v>
      </c>
      <c r="R25" s="21">
        <v>2958</v>
      </c>
      <c r="S25" s="18">
        <v>1</v>
      </c>
      <c r="T25" s="21">
        <v>560</v>
      </c>
      <c r="U25" s="23">
        <v>4.5</v>
      </c>
    </row>
    <row r="26" spans="1:21" x14ac:dyDescent="0.35">
      <c r="A26" s="12" t="s">
        <v>137</v>
      </c>
      <c r="B26" s="12" t="str">
        <f t="shared" si="0"/>
        <v>January</v>
      </c>
      <c r="C26" s="13">
        <v>44950</v>
      </c>
      <c r="D26" s="14" t="s">
        <v>113</v>
      </c>
      <c r="E26" s="14" t="s">
        <v>59</v>
      </c>
      <c r="F26" s="14" t="s">
        <v>94</v>
      </c>
      <c r="G26" s="14" t="s">
        <v>49</v>
      </c>
      <c r="H26" s="14" t="s">
        <v>66</v>
      </c>
      <c r="I26" s="14" t="s">
        <v>71</v>
      </c>
      <c r="J26" s="14" t="s">
        <v>103</v>
      </c>
      <c r="K26" s="12">
        <v>14</v>
      </c>
      <c r="L26" s="15">
        <v>1584</v>
      </c>
      <c r="M26" s="15">
        <v>22176</v>
      </c>
      <c r="N26" s="16">
        <v>20</v>
      </c>
      <c r="O26" s="15">
        <v>4435</v>
      </c>
      <c r="P26" s="15">
        <v>17741</v>
      </c>
      <c r="Q26" s="15">
        <v>10550</v>
      </c>
      <c r="R26" s="15">
        <v>7191</v>
      </c>
      <c r="S26" s="12">
        <v>1</v>
      </c>
      <c r="T26" s="15">
        <v>1267</v>
      </c>
      <c r="U26" s="17">
        <v>3.4</v>
      </c>
    </row>
    <row r="27" spans="1:21" x14ac:dyDescent="0.35">
      <c r="A27" s="18" t="s">
        <v>138</v>
      </c>
      <c r="B27" s="12" t="str">
        <f t="shared" si="0"/>
        <v>January</v>
      </c>
      <c r="C27" s="19">
        <v>44952</v>
      </c>
      <c r="D27" s="20" t="s">
        <v>113</v>
      </c>
      <c r="E27" s="20" t="s">
        <v>56</v>
      </c>
      <c r="F27" s="20" t="s">
        <v>98</v>
      </c>
      <c r="G27" s="20" t="s">
        <v>53</v>
      </c>
      <c r="H27" s="20" t="s">
        <v>68</v>
      </c>
      <c r="I27" s="20" t="s">
        <v>65</v>
      </c>
      <c r="J27" s="20" t="s">
        <v>99</v>
      </c>
      <c r="K27" s="18">
        <v>10</v>
      </c>
      <c r="L27" s="21">
        <v>2377</v>
      </c>
      <c r="M27" s="21">
        <v>23770</v>
      </c>
      <c r="N27" s="22">
        <v>20</v>
      </c>
      <c r="O27" s="21">
        <v>4754</v>
      </c>
      <c r="P27" s="21">
        <v>19016</v>
      </c>
      <c r="Q27" s="21">
        <v>9582</v>
      </c>
      <c r="R27" s="21">
        <v>9434</v>
      </c>
      <c r="S27" s="18">
        <v>2</v>
      </c>
      <c r="T27" s="21">
        <v>3803</v>
      </c>
      <c r="U27" s="23">
        <v>2.8</v>
      </c>
    </row>
    <row r="28" spans="1:21" x14ac:dyDescent="0.35">
      <c r="A28" s="12" t="s">
        <v>139</v>
      </c>
      <c r="B28" s="12" t="str">
        <f t="shared" si="0"/>
        <v>January</v>
      </c>
      <c r="C28" s="13">
        <v>44952</v>
      </c>
      <c r="D28" s="14" t="s">
        <v>115</v>
      </c>
      <c r="E28" s="14" t="s">
        <v>52</v>
      </c>
      <c r="F28" s="14" t="s">
        <v>134</v>
      </c>
      <c r="G28" s="14" t="s">
        <v>55</v>
      </c>
      <c r="H28" s="14" t="s">
        <v>66</v>
      </c>
      <c r="I28" s="14" t="s">
        <v>65</v>
      </c>
      <c r="J28" s="14" t="s">
        <v>99</v>
      </c>
      <c r="K28" s="12">
        <v>1</v>
      </c>
      <c r="L28" s="15">
        <v>2098</v>
      </c>
      <c r="M28" s="15">
        <v>2098</v>
      </c>
      <c r="N28" s="16">
        <v>30</v>
      </c>
      <c r="O28" s="15">
        <v>629</v>
      </c>
      <c r="P28" s="15">
        <v>1469</v>
      </c>
      <c r="Q28" s="15">
        <v>725</v>
      </c>
      <c r="R28" s="15">
        <v>744</v>
      </c>
      <c r="S28" s="12">
        <v>0</v>
      </c>
      <c r="T28" s="15">
        <v>0</v>
      </c>
      <c r="U28" s="17">
        <v>4.8</v>
      </c>
    </row>
    <row r="29" spans="1:21" x14ac:dyDescent="0.35">
      <c r="A29" s="18" t="s">
        <v>140</v>
      </c>
      <c r="B29" s="12" t="str">
        <f t="shared" si="0"/>
        <v>January</v>
      </c>
      <c r="C29" s="19">
        <v>44954</v>
      </c>
      <c r="D29" s="20" t="s">
        <v>105</v>
      </c>
      <c r="E29" s="20" t="s">
        <v>58</v>
      </c>
      <c r="F29" s="20" t="s">
        <v>111</v>
      </c>
      <c r="G29" s="20" t="s">
        <v>51</v>
      </c>
      <c r="H29" s="20" t="s">
        <v>64</v>
      </c>
      <c r="I29" s="20" t="s">
        <v>67</v>
      </c>
      <c r="J29" s="20" t="s">
        <v>99</v>
      </c>
      <c r="K29" s="18">
        <v>10</v>
      </c>
      <c r="L29" s="21">
        <v>4495</v>
      </c>
      <c r="M29" s="21">
        <v>44950</v>
      </c>
      <c r="N29" s="22">
        <v>40</v>
      </c>
      <c r="O29" s="21">
        <v>17980</v>
      </c>
      <c r="P29" s="21">
        <v>26970</v>
      </c>
      <c r="Q29" s="21">
        <v>13102</v>
      </c>
      <c r="R29" s="21">
        <v>13868</v>
      </c>
      <c r="S29" s="18">
        <v>2</v>
      </c>
      <c r="T29" s="21">
        <v>5394</v>
      </c>
      <c r="U29" s="23">
        <v>3</v>
      </c>
    </row>
    <row r="30" spans="1:21" x14ac:dyDescent="0.35">
      <c r="A30" s="12" t="s">
        <v>141</v>
      </c>
      <c r="B30" s="12" t="str">
        <f t="shared" si="0"/>
        <v>January</v>
      </c>
      <c r="C30" s="13">
        <v>44955</v>
      </c>
      <c r="D30" s="14" t="s">
        <v>142</v>
      </c>
      <c r="E30" s="14" t="s">
        <v>58</v>
      </c>
      <c r="F30" s="14" t="s">
        <v>102</v>
      </c>
      <c r="G30" s="14" t="s">
        <v>53</v>
      </c>
      <c r="H30" s="14" t="s">
        <v>66</v>
      </c>
      <c r="I30" s="14" t="s">
        <v>67</v>
      </c>
      <c r="J30" s="14" t="s">
        <v>103</v>
      </c>
      <c r="K30" s="12">
        <v>9</v>
      </c>
      <c r="L30" s="15">
        <v>387</v>
      </c>
      <c r="M30" s="15">
        <v>3483</v>
      </c>
      <c r="N30" s="16">
        <v>25</v>
      </c>
      <c r="O30" s="15">
        <v>871</v>
      </c>
      <c r="P30" s="15">
        <v>2612</v>
      </c>
      <c r="Q30" s="15">
        <v>1697</v>
      </c>
      <c r="R30" s="15">
        <v>915</v>
      </c>
      <c r="S30" s="12">
        <v>1</v>
      </c>
      <c r="T30" s="15">
        <v>290</v>
      </c>
      <c r="U30" s="17">
        <v>2.7</v>
      </c>
    </row>
    <row r="31" spans="1:21" x14ac:dyDescent="0.35">
      <c r="A31" s="18" t="s">
        <v>143</v>
      </c>
      <c r="B31" s="12" t="str">
        <f t="shared" si="0"/>
        <v>January</v>
      </c>
      <c r="C31" s="19">
        <v>44956</v>
      </c>
      <c r="D31" s="20" t="s">
        <v>101</v>
      </c>
      <c r="E31" s="20" t="s">
        <v>58</v>
      </c>
      <c r="F31" s="20" t="s">
        <v>124</v>
      </c>
      <c r="G31" s="20" t="s">
        <v>57</v>
      </c>
      <c r="H31" s="20" t="s">
        <v>68</v>
      </c>
      <c r="I31" s="20" t="s">
        <v>71</v>
      </c>
      <c r="J31" s="20" t="s">
        <v>95</v>
      </c>
      <c r="K31" s="18">
        <v>3</v>
      </c>
      <c r="L31" s="21">
        <v>770</v>
      </c>
      <c r="M31" s="21">
        <v>2310</v>
      </c>
      <c r="N31" s="22">
        <v>15</v>
      </c>
      <c r="O31" s="21">
        <v>346</v>
      </c>
      <c r="P31" s="21">
        <v>1964</v>
      </c>
      <c r="Q31" s="21">
        <v>1015</v>
      </c>
      <c r="R31" s="21">
        <v>949</v>
      </c>
      <c r="S31" s="18">
        <v>0</v>
      </c>
      <c r="T31" s="21">
        <v>0</v>
      </c>
      <c r="U31" s="23">
        <v>4.4000000000000004</v>
      </c>
    </row>
    <row r="32" spans="1:21" x14ac:dyDescent="0.35">
      <c r="A32" s="12" t="s">
        <v>144</v>
      </c>
      <c r="B32" s="12" t="str">
        <f t="shared" si="0"/>
        <v>January</v>
      </c>
      <c r="C32" s="13">
        <v>44957</v>
      </c>
      <c r="D32" s="14" t="s">
        <v>93</v>
      </c>
      <c r="E32" s="14" t="s">
        <v>48</v>
      </c>
      <c r="F32" s="14" t="s">
        <v>94</v>
      </c>
      <c r="G32" s="14" t="s">
        <v>57</v>
      </c>
      <c r="H32" s="14" t="s">
        <v>68</v>
      </c>
      <c r="I32" s="14" t="s">
        <v>71</v>
      </c>
      <c r="J32" s="14" t="s">
        <v>103</v>
      </c>
      <c r="K32" s="12">
        <v>3</v>
      </c>
      <c r="L32" s="15">
        <v>1820</v>
      </c>
      <c r="M32" s="15">
        <v>5460</v>
      </c>
      <c r="N32" s="16">
        <v>20</v>
      </c>
      <c r="O32" s="15">
        <v>1092</v>
      </c>
      <c r="P32" s="15">
        <v>4368</v>
      </c>
      <c r="Q32" s="15">
        <v>2282</v>
      </c>
      <c r="R32" s="15">
        <v>2086</v>
      </c>
      <c r="S32" s="12">
        <v>1</v>
      </c>
      <c r="T32" s="15">
        <v>1456</v>
      </c>
      <c r="U32" s="17">
        <v>4.9000000000000004</v>
      </c>
    </row>
    <row r="33" spans="1:21" x14ac:dyDescent="0.35">
      <c r="A33" s="18" t="s">
        <v>145</v>
      </c>
      <c r="B33" s="12" t="str">
        <f t="shared" si="0"/>
        <v>February</v>
      </c>
      <c r="C33" s="19">
        <v>44958</v>
      </c>
      <c r="D33" s="20" t="s">
        <v>142</v>
      </c>
      <c r="E33" s="20" t="s">
        <v>56</v>
      </c>
      <c r="F33" s="20" t="s">
        <v>94</v>
      </c>
      <c r="G33" s="20" t="s">
        <v>49</v>
      </c>
      <c r="H33" s="20" t="s">
        <v>64</v>
      </c>
      <c r="I33" s="20" t="s">
        <v>71</v>
      </c>
      <c r="J33" s="20" t="s">
        <v>99</v>
      </c>
      <c r="K33" s="18">
        <v>9</v>
      </c>
      <c r="L33" s="21">
        <v>4620</v>
      </c>
      <c r="M33" s="21">
        <v>41580</v>
      </c>
      <c r="N33" s="22">
        <v>50</v>
      </c>
      <c r="O33" s="21">
        <v>20790</v>
      </c>
      <c r="P33" s="21">
        <v>20790</v>
      </c>
      <c r="Q33" s="21">
        <v>10174</v>
      </c>
      <c r="R33" s="21">
        <v>10616</v>
      </c>
      <c r="S33" s="18">
        <v>2</v>
      </c>
      <c r="T33" s="21">
        <v>4620</v>
      </c>
      <c r="U33" s="23">
        <v>2.7</v>
      </c>
    </row>
    <row r="34" spans="1:21" x14ac:dyDescent="0.35">
      <c r="A34" s="12" t="s">
        <v>146</v>
      </c>
      <c r="B34" s="12" t="str">
        <f t="shared" si="0"/>
        <v>February</v>
      </c>
      <c r="C34" s="13">
        <v>44961</v>
      </c>
      <c r="D34" s="14" t="s">
        <v>131</v>
      </c>
      <c r="E34" s="14" t="s">
        <v>50</v>
      </c>
      <c r="F34" s="14" t="s">
        <v>106</v>
      </c>
      <c r="G34" s="14" t="s">
        <v>51</v>
      </c>
      <c r="H34" s="14" t="s">
        <v>68</v>
      </c>
      <c r="I34" s="14" t="s">
        <v>65</v>
      </c>
      <c r="J34" s="14" t="s">
        <v>99</v>
      </c>
      <c r="K34" s="12">
        <v>9</v>
      </c>
      <c r="L34" s="15">
        <v>2817</v>
      </c>
      <c r="M34" s="15">
        <v>25353</v>
      </c>
      <c r="N34" s="16">
        <v>20</v>
      </c>
      <c r="O34" s="15">
        <v>5071</v>
      </c>
      <c r="P34" s="15">
        <v>20282</v>
      </c>
      <c r="Q34" s="15">
        <v>10386</v>
      </c>
      <c r="R34" s="15">
        <v>9896</v>
      </c>
      <c r="S34" s="12">
        <v>0</v>
      </c>
      <c r="T34" s="15">
        <v>0</v>
      </c>
      <c r="U34" s="17">
        <v>3.5</v>
      </c>
    </row>
    <row r="35" spans="1:21" x14ac:dyDescent="0.35">
      <c r="A35" s="18" t="s">
        <v>147</v>
      </c>
      <c r="B35" s="12" t="str">
        <f t="shared" si="0"/>
        <v>February</v>
      </c>
      <c r="C35" s="19">
        <v>44961</v>
      </c>
      <c r="D35" s="20" t="s">
        <v>101</v>
      </c>
      <c r="E35" s="20" t="s">
        <v>54</v>
      </c>
      <c r="F35" s="20" t="s">
        <v>108</v>
      </c>
      <c r="G35" s="20" t="s">
        <v>57</v>
      </c>
      <c r="H35" s="20" t="s">
        <v>66</v>
      </c>
      <c r="I35" s="20" t="s">
        <v>67</v>
      </c>
      <c r="J35" s="20" t="s">
        <v>95</v>
      </c>
      <c r="K35" s="18">
        <v>2</v>
      </c>
      <c r="L35" s="21">
        <v>3522</v>
      </c>
      <c r="M35" s="21">
        <v>7044</v>
      </c>
      <c r="N35" s="22">
        <v>25</v>
      </c>
      <c r="O35" s="21">
        <v>1761</v>
      </c>
      <c r="P35" s="21">
        <v>5283</v>
      </c>
      <c r="Q35" s="21">
        <v>2900</v>
      </c>
      <c r="R35" s="21">
        <v>2383</v>
      </c>
      <c r="S35" s="18">
        <v>0</v>
      </c>
      <c r="T35" s="21">
        <v>0</v>
      </c>
      <c r="U35" s="23">
        <v>4.5999999999999996</v>
      </c>
    </row>
    <row r="36" spans="1:21" x14ac:dyDescent="0.35">
      <c r="A36" s="12" t="s">
        <v>148</v>
      </c>
      <c r="B36" s="12" t="str">
        <f t="shared" si="0"/>
        <v>February</v>
      </c>
      <c r="C36" s="13">
        <v>44962</v>
      </c>
      <c r="D36" s="14" t="s">
        <v>122</v>
      </c>
      <c r="E36" s="14" t="s">
        <v>48</v>
      </c>
      <c r="F36" s="14" t="s">
        <v>98</v>
      </c>
      <c r="G36" s="14" t="s">
        <v>51</v>
      </c>
      <c r="H36" s="14" t="s">
        <v>68</v>
      </c>
      <c r="I36" s="14" t="s">
        <v>69</v>
      </c>
      <c r="J36" s="14" t="s">
        <v>103</v>
      </c>
      <c r="K36" s="12">
        <v>4</v>
      </c>
      <c r="L36" s="15">
        <v>3020</v>
      </c>
      <c r="M36" s="15">
        <v>12080</v>
      </c>
      <c r="N36" s="16">
        <v>0</v>
      </c>
      <c r="O36" s="15">
        <v>0</v>
      </c>
      <c r="P36" s="15">
        <v>12080</v>
      </c>
      <c r="Q36" s="15">
        <v>7307</v>
      </c>
      <c r="R36" s="15">
        <v>4773</v>
      </c>
      <c r="S36" s="12">
        <v>1</v>
      </c>
      <c r="T36" s="15">
        <v>3020</v>
      </c>
      <c r="U36" s="17">
        <v>4.0999999999999996</v>
      </c>
    </row>
    <row r="37" spans="1:21" x14ac:dyDescent="0.35">
      <c r="A37" s="18" t="s">
        <v>149</v>
      </c>
      <c r="B37" s="12" t="str">
        <f t="shared" si="0"/>
        <v>February</v>
      </c>
      <c r="C37" s="19">
        <v>44962</v>
      </c>
      <c r="D37" s="20" t="s">
        <v>115</v>
      </c>
      <c r="E37" s="20" t="s">
        <v>58</v>
      </c>
      <c r="F37" s="20" t="s">
        <v>108</v>
      </c>
      <c r="G37" s="20" t="s">
        <v>53</v>
      </c>
      <c r="H37" s="20" t="s">
        <v>66</v>
      </c>
      <c r="I37" s="20" t="s">
        <v>71</v>
      </c>
      <c r="J37" s="20" t="s">
        <v>99</v>
      </c>
      <c r="K37" s="18">
        <v>11</v>
      </c>
      <c r="L37" s="21">
        <v>4910</v>
      </c>
      <c r="M37" s="21">
        <v>54010</v>
      </c>
      <c r="N37" s="22">
        <v>50</v>
      </c>
      <c r="O37" s="21">
        <v>27005</v>
      </c>
      <c r="P37" s="21">
        <v>27005</v>
      </c>
      <c r="Q37" s="21">
        <v>14388</v>
      </c>
      <c r="R37" s="21">
        <v>12617</v>
      </c>
      <c r="S37" s="18">
        <v>0</v>
      </c>
      <c r="T37" s="21">
        <v>0</v>
      </c>
      <c r="U37" s="23">
        <v>2.8</v>
      </c>
    </row>
    <row r="38" spans="1:21" x14ac:dyDescent="0.35">
      <c r="A38" s="12" t="s">
        <v>150</v>
      </c>
      <c r="B38" s="12" t="str">
        <f t="shared" si="0"/>
        <v>February</v>
      </c>
      <c r="C38" s="13">
        <v>44963</v>
      </c>
      <c r="D38" s="14" t="s">
        <v>113</v>
      </c>
      <c r="E38" s="14" t="s">
        <v>50</v>
      </c>
      <c r="F38" s="14" t="s">
        <v>151</v>
      </c>
      <c r="G38" s="14" t="s">
        <v>55</v>
      </c>
      <c r="H38" s="14" t="s">
        <v>64</v>
      </c>
      <c r="I38" s="14" t="s">
        <v>65</v>
      </c>
      <c r="J38" s="14" t="s">
        <v>95</v>
      </c>
      <c r="K38" s="12">
        <v>14</v>
      </c>
      <c r="L38" s="15">
        <v>1770</v>
      </c>
      <c r="M38" s="15">
        <v>24780</v>
      </c>
      <c r="N38" s="16">
        <v>30</v>
      </c>
      <c r="O38" s="15">
        <v>7434</v>
      </c>
      <c r="P38" s="15">
        <v>17346</v>
      </c>
      <c r="Q38" s="15">
        <v>10292</v>
      </c>
      <c r="R38" s="15">
        <v>7054</v>
      </c>
      <c r="S38" s="12">
        <v>3</v>
      </c>
      <c r="T38" s="15">
        <v>3717</v>
      </c>
      <c r="U38" s="17">
        <v>3.2</v>
      </c>
    </row>
    <row r="39" spans="1:21" x14ac:dyDescent="0.35">
      <c r="A39" s="18" t="s">
        <v>152</v>
      </c>
      <c r="B39" s="12" t="str">
        <f t="shared" si="0"/>
        <v>February</v>
      </c>
      <c r="C39" s="19">
        <v>44963</v>
      </c>
      <c r="D39" s="20" t="s">
        <v>120</v>
      </c>
      <c r="E39" s="20" t="s">
        <v>48</v>
      </c>
      <c r="F39" s="20" t="s">
        <v>124</v>
      </c>
      <c r="G39" s="20" t="s">
        <v>51</v>
      </c>
      <c r="H39" s="20" t="s">
        <v>64</v>
      </c>
      <c r="I39" s="20" t="s">
        <v>67</v>
      </c>
      <c r="J39" s="20" t="s">
        <v>99</v>
      </c>
      <c r="K39" s="18">
        <v>14</v>
      </c>
      <c r="L39" s="21">
        <v>358</v>
      </c>
      <c r="M39" s="21">
        <v>5012</v>
      </c>
      <c r="N39" s="22">
        <v>15</v>
      </c>
      <c r="O39" s="21">
        <v>752</v>
      </c>
      <c r="P39" s="21">
        <v>4260</v>
      </c>
      <c r="Q39" s="21">
        <v>2327</v>
      </c>
      <c r="R39" s="21">
        <v>1933</v>
      </c>
      <c r="S39" s="18">
        <v>3</v>
      </c>
      <c r="T39" s="21">
        <v>913</v>
      </c>
      <c r="U39" s="23">
        <v>3.1</v>
      </c>
    </row>
    <row r="40" spans="1:21" x14ac:dyDescent="0.35">
      <c r="A40" s="12" t="s">
        <v>153</v>
      </c>
      <c r="B40" s="12" t="str">
        <f t="shared" si="0"/>
        <v>February</v>
      </c>
      <c r="C40" s="13">
        <v>44963</v>
      </c>
      <c r="D40" s="14" t="s">
        <v>113</v>
      </c>
      <c r="E40" s="14" t="s">
        <v>54</v>
      </c>
      <c r="F40" s="14" t="s">
        <v>134</v>
      </c>
      <c r="G40" s="14" t="s">
        <v>53</v>
      </c>
      <c r="H40" s="14" t="s">
        <v>66</v>
      </c>
      <c r="I40" s="14" t="s">
        <v>65</v>
      </c>
      <c r="J40" s="14" t="s">
        <v>95</v>
      </c>
      <c r="K40" s="12">
        <v>3</v>
      </c>
      <c r="L40" s="15">
        <v>435</v>
      </c>
      <c r="M40" s="15">
        <v>1305</v>
      </c>
      <c r="N40" s="16">
        <v>0</v>
      </c>
      <c r="O40" s="15">
        <v>0</v>
      </c>
      <c r="P40" s="15">
        <v>1305</v>
      </c>
      <c r="Q40" s="15">
        <v>622</v>
      </c>
      <c r="R40" s="15">
        <v>683</v>
      </c>
      <c r="S40" s="12">
        <v>0</v>
      </c>
      <c r="T40" s="15">
        <v>0</v>
      </c>
      <c r="U40" s="17">
        <v>2.7</v>
      </c>
    </row>
    <row r="41" spans="1:21" x14ac:dyDescent="0.35">
      <c r="A41" s="18" t="s">
        <v>154</v>
      </c>
      <c r="B41" s="12" t="str">
        <f t="shared" si="0"/>
        <v>February</v>
      </c>
      <c r="C41" s="19">
        <v>44964</v>
      </c>
      <c r="D41" s="20" t="s">
        <v>142</v>
      </c>
      <c r="E41" s="20" t="s">
        <v>50</v>
      </c>
      <c r="F41" s="20" t="s">
        <v>111</v>
      </c>
      <c r="G41" s="20" t="s">
        <v>55</v>
      </c>
      <c r="H41" s="20" t="s">
        <v>64</v>
      </c>
      <c r="I41" s="20" t="s">
        <v>67</v>
      </c>
      <c r="J41" s="20" t="s">
        <v>103</v>
      </c>
      <c r="K41" s="18">
        <v>6</v>
      </c>
      <c r="L41" s="21">
        <v>3634</v>
      </c>
      <c r="M41" s="21">
        <v>21804</v>
      </c>
      <c r="N41" s="22">
        <v>50</v>
      </c>
      <c r="O41" s="21">
        <v>10902</v>
      </c>
      <c r="P41" s="21">
        <v>10902</v>
      </c>
      <c r="Q41" s="21">
        <v>6384</v>
      </c>
      <c r="R41" s="21">
        <v>4518</v>
      </c>
      <c r="S41" s="18">
        <v>1</v>
      </c>
      <c r="T41" s="21">
        <v>1817</v>
      </c>
      <c r="U41" s="23">
        <v>4.5999999999999996</v>
      </c>
    </row>
    <row r="42" spans="1:21" x14ac:dyDescent="0.35">
      <c r="A42" s="12" t="s">
        <v>155</v>
      </c>
      <c r="B42" s="12" t="str">
        <f t="shared" si="0"/>
        <v>February</v>
      </c>
      <c r="C42" s="13">
        <v>44964</v>
      </c>
      <c r="D42" s="14" t="s">
        <v>115</v>
      </c>
      <c r="E42" s="14" t="s">
        <v>59</v>
      </c>
      <c r="F42" s="14" t="s">
        <v>108</v>
      </c>
      <c r="G42" s="14" t="s">
        <v>51</v>
      </c>
      <c r="H42" s="14" t="s">
        <v>68</v>
      </c>
      <c r="I42" s="14" t="s">
        <v>70</v>
      </c>
      <c r="J42" s="14" t="s">
        <v>103</v>
      </c>
      <c r="K42" s="12">
        <v>7</v>
      </c>
      <c r="L42" s="15">
        <v>1787</v>
      </c>
      <c r="M42" s="15">
        <v>12509</v>
      </c>
      <c r="N42" s="16">
        <v>5</v>
      </c>
      <c r="O42" s="15">
        <v>625</v>
      </c>
      <c r="P42" s="15">
        <v>11884</v>
      </c>
      <c r="Q42" s="15">
        <v>5620</v>
      </c>
      <c r="R42" s="15">
        <v>6264</v>
      </c>
      <c r="S42" s="12">
        <v>1</v>
      </c>
      <c r="T42" s="15">
        <v>1698</v>
      </c>
      <c r="U42" s="17">
        <v>3.6</v>
      </c>
    </row>
    <row r="43" spans="1:21" x14ac:dyDescent="0.35">
      <c r="A43" s="18" t="s">
        <v>156</v>
      </c>
      <c r="B43" s="12" t="str">
        <f t="shared" si="0"/>
        <v>February</v>
      </c>
      <c r="C43" s="19">
        <v>44965</v>
      </c>
      <c r="D43" s="20" t="s">
        <v>105</v>
      </c>
      <c r="E43" s="20" t="s">
        <v>48</v>
      </c>
      <c r="F43" s="20" t="s">
        <v>106</v>
      </c>
      <c r="G43" s="20" t="s">
        <v>49</v>
      </c>
      <c r="H43" s="20" t="s">
        <v>66</v>
      </c>
      <c r="I43" s="20" t="s">
        <v>67</v>
      </c>
      <c r="J43" s="20" t="s">
        <v>103</v>
      </c>
      <c r="K43" s="18">
        <v>10</v>
      </c>
      <c r="L43" s="21">
        <v>4085</v>
      </c>
      <c r="M43" s="21">
        <v>40850</v>
      </c>
      <c r="N43" s="22">
        <v>0</v>
      </c>
      <c r="O43" s="21">
        <v>0</v>
      </c>
      <c r="P43" s="21">
        <v>40850</v>
      </c>
      <c r="Q43" s="21">
        <v>21928</v>
      </c>
      <c r="R43" s="21">
        <v>18922</v>
      </c>
      <c r="S43" s="18">
        <v>1</v>
      </c>
      <c r="T43" s="21">
        <v>4085</v>
      </c>
      <c r="U43" s="23">
        <v>4.2</v>
      </c>
    </row>
    <row r="44" spans="1:21" x14ac:dyDescent="0.35">
      <c r="A44" s="12" t="s">
        <v>157</v>
      </c>
      <c r="B44" s="12" t="str">
        <f t="shared" si="0"/>
        <v>February</v>
      </c>
      <c r="C44" s="13">
        <v>44965</v>
      </c>
      <c r="D44" s="14" t="s">
        <v>105</v>
      </c>
      <c r="E44" s="14" t="s">
        <v>58</v>
      </c>
      <c r="F44" s="14" t="s">
        <v>124</v>
      </c>
      <c r="G44" s="14" t="s">
        <v>53</v>
      </c>
      <c r="H44" s="14" t="s">
        <v>64</v>
      </c>
      <c r="I44" s="14" t="s">
        <v>67</v>
      </c>
      <c r="J44" s="14" t="s">
        <v>99</v>
      </c>
      <c r="K44" s="12">
        <v>1</v>
      </c>
      <c r="L44" s="15">
        <v>2682</v>
      </c>
      <c r="M44" s="15">
        <v>2682</v>
      </c>
      <c r="N44" s="16">
        <v>50</v>
      </c>
      <c r="O44" s="15">
        <v>1341</v>
      </c>
      <c r="P44" s="15">
        <v>1341</v>
      </c>
      <c r="Q44" s="15">
        <v>819</v>
      </c>
      <c r="R44" s="15">
        <v>522</v>
      </c>
      <c r="S44" s="12">
        <v>1</v>
      </c>
      <c r="T44" s="15">
        <v>1341</v>
      </c>
      <c r="U44" s="17">
        <v>4.5</v>
      </c>
    </row>
    <row r="45" spans="1:21" x14ac:dyDescent="0.35">
      <c r="A45" s="18" t="s">
        <v>158</v>
      </c>
      <c r="B45" s="12" t="str">
        <f t="shared" si="0"/>
        <v>February</v>
      </c>
      <c r="C45" s="19">
        <v>44965</v>
      </c>
      <c r="D45" s="20" t="s">
        <v>101</v>
      </c>
      <c r="E45" s="20" t="s">
        <v>48</v>
      </c>
      <c r="F45" s="20" t="s">
        <v>111</v>
      </c>
      <c r="G45" s="20" t="s">
        <v>55</v>
      </c>
      <c r="H45" s="20" t="s">
        <v>68</v>
      </c>
      <c r="I45" s="20" t="s">
        <v>67</v>
      </c>
      <c r="J45" s="20" t="s">
        <v>95</v>
      </c>
      <c r="K45" s="18">
        <v>15</v>
      </c>
      <c r="L45" s="21">
        <v>2995</v>
      </c>
      <c r="M45" s="21">
        <v>44925</v>
      </c>
      <c r="N45" s="22">
        <v>10</v>
      </c>
      <c r="O45" s="21">
        <v>4492</v>
      </c>
      <c r="P45" s="21">
        <v>40433</v>
      </c>
      <c r="Q45" s="21">
        <v>27769</v>
      </c>
      <c r="R45" s="21">
        <v>12664</v>
      </c>
      <c r="S45" s="18">
        <v>1</v>
      </c>
      <c r="T45" s="21">
        <v>2696</v>
      </c>
      <c r="U45" s="23">
        <v>3.7</v>
      </c>
    </row>
    <row r="46" spans="1:21" x14ac:dyDescent="0.35">
      <c r="A46" s="12" t="s">
        <v>159</v>
      </c>
      <c r="B46" s="12" t="str">
        <f t="shared" si="0"/>
        <v>February</v>
      </c>
      <c r="C46" s="13">
        <v>44968</v>
      </c>
      <c r="D46" s="14" t="s">
        <v>120</v>
      </c>
      <c r="E46" s="14" t="s">
        <v>58</v>
      </c>
      <c r="F46" s="14" t="s">
        <v>108</v>
      </c>
      <c r="G46" s="14" t="s">
        <v>51</v>
      </c>
      <c r="H46" s="14" t="s">
        <v>66</v>
      </c>
      <c r="I46" s="14" t="s">
        <v>70</v>
      </c>
      <c r="J46" s="14" t="s">
        <v>99</v>
      </c>
      <c r="K46" s="12">
        <v>12</v>
      </c>
      <c r="L46" s="15">
        <v>4465</v>
      </c>
      <c r="M46" s="15">
        <v>53580</v>
      </c>
      <c r="N46" s="16">
        <v>5</v>
      </c>
      <c r="O46" s="15">
        <v>2679</v>
      </c>
      <c r="P46" s="15">
        <v>50901</v>
      </c>
      <c r="Q46" s="15">
        <v>32162</v>
      </c>
      <c r="R46" s="15">
        <v>18739</v>
      </c>
      <c r="S46" s="12">
        <v>0</v>
      </c>
      <c r="T46" s="15">
        <v>0</v>
      </c>
      <c r="U46" s="17">
        <v>4.5999999999999996</v>
      </c>
    </row>
    <row r="47" spans="1:21" x14ac:dyDescent="0.35">
      <c r="A47" s="18" t="s">
        <v>160</v>
      </c>
      <c r="B47" s="12" t="str">
        <f t="shared" si="0"/>
        <v>February</v>
      </c>
      <c r="C47" s="19">
        <v>44969</v>
      </c>
      <c r="D47" s="20" t="s">
        <v>113</v>
      </c>
      <c r="E47" s="20" t="s">
        <v>54</v>
      </c>
      <c r="F47" s="20" t="s">
        <v>134</v>
      </c>
      <c r="G47" s="20" t="s">
        <v>57</v>
      </c>
      <c r="H47" s="20" t="s">
        <v>68</v>
      </c>
      <c r="I47" s="20" t="s">
        <v>67</v>
      </c>
      <c r="J47" s="20" t="s">
        <v>95</v>
      </c>
      <c r="K47" s="18">
        <v>1</v>
      </c>
      <c r="L47" s="21">
        <v>3632</v>
      </c>
      <c r="M47" s="21">
        <v>3632</v>
      </c>
      <c r="N47" s="22">
        <v>0</v>
      </c>
      <c r="O47" s="21">
        <v>0</v>
      </c>
      <c r="P47" s="21">
        <v>3632</v>
      </c>
      <c r="Q47" s="21">
        <v>2159</v>
      </c>
      <c r="R47" s="21">
        <v>1473</v>
      </c>
      <c r="S47" s="18">
        <v>0</v>
      </c>
      <c r="T47" s="21">
        <v>0</v>
      </c>
      <c r="U47" s="23">
        <v>3.8</v>
      </c>
    </row>
    <row r="48" spans="1:21" x14ac:dyDescent="0.35">
      <c r="A48" s="12" t="s">
        <v>161</v>
      </c>
      <c r="B48" s="12" t="str">
        <f t="shared" si="0"/>
        <v>February</v>
      </c>
      <c r="C48" s="13">
        <v>44970</v>
      </c>
      <c r="D48" s="14" t="s">
        <v>122</v>
      </c>
      <c r="E48" s="14" t="s">
        <v>56</v>
      </c>
      <c r="F48" s="14" t="s">
        <v>111</v>
      </c>
      <c r="G48" s="14" t="s">
        <v>53</v>
      </c>
      <c r="H48" s="14" t="s">
        <v>64</v>
      </c>
      <c r="I48" s="14" t="s">
        <v>70</v>
      </c>
      <c r="J48" s="14" t="s">
        <v>99</v>
      </c>
      <c r="K48" s="12">
        <v>2</v>
      </c>
      <c r="L48" s="15">
        <v>1159</v>
      </c>
      <c r="M48" s="15">
        <v>2318</v>
      </c>
      <c r="N48" s="16">
        <v>10</v>
      </c>
      <c r="O48" s="15">
        <v>232</v>
      </c>
      <c r="P48" s="15">
        <v>2086</v>
      </c>
      <c r="Q48" s="15">
        <v>1205</v>
      </c>
      <c r="R48" s="15">
        <v>881</v>
      </c>
      <c r="S48" s="12">
        <v>1</v>
      </c>
      <c r="T48" s="15">
        <v>1043</v>
      </c>
      <c r="U48" s="17">
        <v>4</v>
      </c>
    </row>
    <row r="49" spans="1:21" x14ac:dyDescent="0.35">
      <c r="A49" s="18" t="s">
        <v>162</v>
      </c>
      <c r="B49" s="12" t="str">
        <f t="shared" si="0"/>
        <v>February</v>
      </c>
      <c r="C49" s="19">
        <v>44971</v>
      </c>
      <c r="D49" s="20" t="s">
        <v>101</v>
      </c>
      <c r="E49" s="20" t="s">
        <v>50</v>
      </c>
      <c r="F49" s="20" t="s">
        <v>98</v>
      </c>
      <c r="G49" s="20" t="s">
        <v>51</v>
      </c>
      <c r="H49" s="20" t="s">
        <v>64</v>
      </c>
      <c r="I49" s="20" t="s">
        <v>71</v>
      </c>
      <c r="J49" s="20" t="s">
        <v>103</v>
      </c>
      <c r="K49" s="18">
        <v>6</v>
      </c>
      <c r="L49" s="21">
        <v>4346</v>
      </c>
      <c r="M49" s="21">
        <v>26076</v>
      </c>
      <c r="N49" s="22">
        <v>30</v>
      </c>
      <c r="O49" s="21">
        <v>7823</v>
      </c>
      <c r="P49" s="21">
        <v>18253</v>
      </c>
      <c r="Q49" s="21">
        <v>8971</v>
      </c>
      <c r="R49" s="21">
        <v>9282</v>
      </c>
      <c r="S49" s="18">
        <v>0</v>
      </c>
      <c r="T49" s="21">
        <v>0</v>
      </c>
      <c r="U49" s="23">
        <v>4.5</v>
      </c>
    </row>
    <row r="50" spans="1:21" x14ac:dyDescent="0.35">
      <c r="A50" s="12" t="s">
        <v>163</v>
      </c>
      <c r="B50" s="12" t="str">
        <f t="shared" si="0"/>
        <v>February</v>
      </c>
      <c r="C50" s="13">
        <v>44971</v>
      </c>
      <c r="D50" s="14" t="s">
        <v>113</v>
      </c>
      <c r="E50" s="14" t="s">
        <v>50</v>
      </c>
      <c r="F50" s="14" t="s">
        <v>102</v>
      </c>
      <c r="G50" s="14" t="s">
        <v>55</v>
      </c>
      <c r="H50" s="14" t="s">
        <v>66</v>
      </c>
      <c r="I50" s="14" t="s">
        <v>67</v>
      </c>
      <c r="J50" s="14" t="s">
        <v>99</v>
      </c>
      <c r="K50" s="12">
        <v>9</v>
      </c>
      <c r="L50" s="15">
        <v>2452</v>
      </c>
      <c r="M50" s="15">
        <v>22068</v>
      </c>
      <c r="N50" s="16">
        <v>0</v>
      </c>
      <c r="O50" s="15">
        <v>0</v>
      </c>
      <c r="P50" s="15">
        <v>22068</v>
      </c>
      <c r="Q50" s="15">
        <v>14270</v>
      </c>
      <c r="R50" s="15">
        <v>7798</v>
      </c>
      <c r="S50" s="12">
        <v>2</v>
      </c>
      <c r="T50" s="15">
        <v>4904</v>
      </c>
      <c r="U50" s="17">
        <v>4</v>
      </c>
    </row>
    <row r="51" spans="1:21" x14ac:dyDescent="0.35">
      <c r="A51" s="18" t="s">
        <v>164</v>
      </c>
      <c r="B51" s="12" t="str">
        <f t="shared" si="0"/>
        <v>February</v>
      </c>
      <c r="C51" s="19">
        <v>44972</v>
      </c>
      <c r="D51" s="20" t="s">
        <v>122</v>
      </c>
      <c r="E51" s="20" t="s">
        <v>59</v>
      </c>
      <c r="F51" s="20" t="s">
        <v>116</v>
      </c>
      <c r="G51" s="20" t="s">
        <v>55</v>
      </c>
      <c r="H51" s="20" t="s">
        <v>68</v>
      </c>
      <c r="I51" s="20" t="s">
        <v>67</v>
      </c>
      <c r="J51" s="20" t="s">
        <v>95</v>
      </c>
      <c r="K51" s="18">
        <v>6</v>
      </c>
      <c r="L51" s="21">
        <v>1918</v>
      </c>
      <c r="M51" s="21">
        <v>11508</v>
      </c>
      <c r="N51" s="22">
        <v>0</v>
      </c>
      <c r="O51" s="21">
        <v>0</v>
      </c>
      <c r="P51" s="21">
        <v>11508</v>
      </c>
      <c r="Q51" s="21">
        <v>7393</v>
      </c>
      <c r="R51" s="21">
        <v>4115</v>
      </c>
      <c r="S51" s="18">
        <v>0</v>
      </c>
      <c r="T51" s="21">
        <v>0</v>
      </c>
      <c r="U51" s="23">
        <v>5</v>
      </c>
    </row>
    <row r="52" spans="1:21" x14ac:dyDescent="0.35">
      <c r="A52" s="12" t="s">
        <v>165</v>
      </c>
      <c r="B52" s="12" t="str">
        <f t="shared" si="0"/>
        <v>February</v>
      </c>
      <c r="C52" s="13">
        <v>44973</v>
      </c>
      <c r="D52" s="14" t="s">
        <v>113</v>
      </c>
      <c r="E52" s="14" t="s">
        <v>50</v>
      </c>
      <c r="F52" s="14" t="s">
        <v>94</v>
      </c>
      <c r="G52" s="14" t="s">
        <v>55</v>
      </c>
      <c r="H52" s="14" t="s">
        <v>68</v>
      </c>
      <c r="I52" s="14" t="s">
        <v>67</v>
      </c>
      <c r="J52" s="14" t="s">
        <v>103</v>
      </c>
      <c r="K52" s="12">
        <v>2</v>
      </c>
      <c r="L52" s="15">
        <v>4330</v>
      </c>
      <c r="M52" s="15">
        <v>8660</v>
      </c>
      <c r="N52" s="16">
        <v>25</v>
      </c>
      <c r="O52" s="15">
        <v>2165</v>
      </c>
      <c r="P52" s="15">
        <v>6495</v>
      </c>
      <c r="Q52" s="15">
        <v>3591</v>
      </c>
      <c r="R52" s="15">
        <v>2904</v>
      </c>
      <c r="S52" s="12">
        <v>1</v>
      </c>
      <c r="T52" s="15">
        <v>3248</v>
      </c>
      <c r="U52" s="17">
        <v>3.2</v>
      </c>
    </row>
    <row r="53" spans="1:21" x14ac:dyDescent="0.35">
      <c r="A53" s="18" t="s">
        <v>166</v>
      </c>
      <c r="B53" s="12" t="str">
        <f t="shared" si="0"/>
        <v>February</v>
      </c>
      <c r="C53" s="19">
        <v>44973</v>
      </c>
      <c r="D53" s="20" t="s">
        <v>122</v>
      </c>
      <c r="E53" s="20" t="s">
        <v>56</v>
      </c>
      <c r="F53" s="20" t="s">
        <v>102</v>
      </c>
      <c r="G53" s="20" t="s">
        <v>49</v>
      </c>
      <c r="H53" s="20" t="s">
        <v>64</v>
      </c>
      <c r="I53" s="20" t="s">
        <v>71</v>
      </c>
      <c r="J53" s="20" t="s">
        <v>103</v>
      </c>
      <c r="K53" s="18">
        <v>9</v>
      </c>
      <c r="L53" s="21">
        <v>935</v>
      </c>
      <c r="M53" s="21">
        <v>8415</v>
      </c>
      <c r="N53" s="22">
        <v>30</v>
      </c>
      <c r="O53" s="21">
        <v>2524</v>
      </c>
      <c r="P53" s="21">
        <v>5891</v>
      </c>
      <c r="Q53" s="21">
        <v>3127</v>
      </c>
      <c r="R53" s="21">
        <v>2764</v>
      </c>
      <c r="S53" s="18">
        <v>0</v>
      </c>
      <c r="T53" s="21">
        <v>0</v>
      </c>
      <c r="U53" s="23">
        <v>2.9</v>
      </c>
    </row>
    <row r="54" spans="1:21" x14ac:dyDescent="0.35">
      <c r="A54" s="12" t="s">
        <v>167</v>
      </c>
      <c r="B54" s="12" t="str">
        <f t="shared" si="0"/>
        <v>February</v>
      </c>
      <c r="C54" s="13">
        <v>44973</v>
      </c>
      <c r="D54" s="14" t="s">
        <v>101</v>
      </c>
      <c r="E54" s="14" t="s">
        <v>52</v>
      </c>
      <c r="F54" s="14" t="s">
        <v>111</v>
      </c>
      <c r="G54" s="14" t="s">
        <v>57</v>
      </c>
      <c r="H54" s="14" t="s">
        <v>66</v>
      </c>
      <c r="I54" s="14" t="s">
        <v>69</v>
      </c>
      <c r="J54" s="14" t="s">
        <v>95</v>
      </c>
      <c r="K54" s="12">
        <v>11</v>
      </c>
      <c r="L54" s="15">
        <v>1000</v>
      </c>
      <c r="M54" s="15">
        <v>11000</v>
      </c>
      <c r="N54" s="16">
        <v>50</v>
      </c>
      <c r="O54" s="15">
        <v>5500</v>
      </c>
      <c r="P54" s="15">
        <v>5500</v>
      </c>
      <c r="Q54" s="15">
        <v>2876</v>
      </c>
      <c r="R54" s="15">
        <v>2624</v>
      </c>
      <c r="S54" s="12">
        <v>2</v>
      </c>
      <c r="T54" s="15">
        <v>1000</v>
      </c>
      <c r="U54" s="17">
        <v>3.9</v>
      </c>
    </row>
    <row r="55" spans="1:21" x14ac:dyDescent="0.35">
      <c r="A55" s="18" t="s">
        <v>168</v>
      </c>
      <c r="B55" s="12" t="str">
        <f t="shared" si="0"/>
        <v>February</v>
      </c>
      <c r="C55" s="19">
        <v>44974</v>
      </c>
      <c r="D55" s="20" t="s">
        <v>131</v>
      </c>
      <c r="E55" s="20" t="s">
        <v>50</v>
      </c>
      <c r="F55" s="20" t="s">
        <v>116</v>
      </c>
      <c r="G55" s="20" t="s">
        <v>55</v>
      </c>
      <c r="H55" s="20" t="s">
        <v>66</v>
      </c>
      <c r="I55" s="20" t="s">
        <v>65</v>
      </c>
      <c r="J55" s="20" t="s">
        <v>95</v>
      </c>
      <c r="K55" s="18">
        <v>11</v>
      </c>
      <c r="L55" s="21">
        <v>343</v>
      </c>
      <c r="M55" s="21">
        <v>3773</v>
      </c>
      <c r="N55" s="22">
        <v>10</v>
      </c>
      <c r="O55" s="21">
        <v>377</v>
      </c>
      <c r="P55" s="21">
        <v>3396</v>
      </c>
      <c r="Q55" s="21">
        <v>1598</v>
      </c>
      <c r="R55" s="21">
        <v>1798</v>
      </c>
      <c r="S55" s="18">
        <v>1</v>
      </c>
      <c r="T55" s="21">
        <v>309</v>
      </c>
      <c r="U55" s="23">
        <v>4.0999999999999996</v>
      </c>
    </row>
    <row r="56" spans="1:21" x14ac:dyDescent="0.35">
      <c r="A56" s="12" t="s">
        <v>169</v>
      </c>
      <c r="B56" s="12" t="str">
        <f t="shared" si="0"/>
        <v>February</v>
      </c>
      <c r="C56" s="13">
        <v>44974</v>
      </c>
      <c r="D56" s="14" t="s">
        <v>142</v>
      </c>
      <c r="E56" s="14" t="s">
        <v>54</v>
      </c>
      <c r="F56" s="14" t="s">
        <v>94</v>
      </c>
      <c r="G56" s="14" t="s">
        <v>51</v>
      </c>
      <c r="H56" s="14" t="s">
        <v>64</v>
      </c>
      <c r="I56" s="14" t="s">
        <v>65</v>
      </c>
      <c r="J56" s="14" t="s">
        <v>99</v>
      </c>
      <c r="K56" s="12">
        <v>8</v>
      </c>
      <c r="L56" s="15">
        <v>1577</v>
      </c>
      <c r="M56" s="15">
        <v>12616</v>
      </c>
      <c r="N56" s="16">
        <v>30</v>
      </c>
      <c r="O56" s="15">
        <v>3785</v>
      </c>
      <c r="P56" s="15">
        <v>8831</v>
      </c>
      <c r="Q56" s="15">
        <v>5497</v>
      </c>
      <c r="R56" s="15">
        <v>3334</v>
      </c>
      <c r="S56" s="12">
        <v>1</v>
      </c>
      <c r="T56" s="15">
        <v>1104</v>
      </c>
      <c r="U56" s="17">
        <v>4.5</v>
      </c>
    </row>
    <row r="57" spans="1:21" x14ac:dyDescent="0.35">
      <c r="A57" s="18" t="s">
        <v>170</v>
      </c>
      <c r="B57" s="12" t="str">
        <f t="shared" si="0"/>
        <v>February</v>
      </c>
      <c r="C57" s="19">
        <v>44974</v>
      </c>
      <c r="D57" s="20" t="s">
        <v>115</v>
      </c>
      <c r="E57" s="20" t="s">
        <v>48</v>
      </c>
      <c r="F57" s="20" t="s">
        <v>116</v>
      </c>
      <c r="G57" s="20" t="s">
        <v>57</v>
      </c>
      <c r="H57" s="20" t="s">
        <v>64</v>
      </c>
      <c r="I57" s="20" t="s">
        <v>69</v>
      </c>
      <c r="J57" s="20" t="s">
        <v>103</v>
      </c>
      <c r="K57" s="18">
        <v>6</v>
      </c>
      <c r="L57" s="21">
        <v>4026</v>
      </c>
      <c r="M57" s="21">
        <v>24156</v>
      </c>
      <c r="N57" s="22">
        <v>10</v>
      </c>
      <c r="O57" s="21">
        <v>2416</v>
      </c>
      <c r="P57" s="21">
        <v>21740</v>
      </c>
      <c r="Q57" s="21">
        <v>12437</v>
      </c>
      <c r="R57" s="21">
        <v>9303</v>
      </c>
      <c r="S57" s="18">
        <v>0</v>
      </c>
      <c r="T57" s="21">
        <v>0</v>
      </c>
      <c r="U57" s="23">
        <v>4</v>
      </c>
    </row>
    <row r="58" spans="1:21" x14ac:dyDescent="0.35">
      <c r="A58" s="12" t="s">
        <v>171</v>
      </c>
      <c r="B58" s="12" t="str">
        <f t="shared" si="0"/>
        <v>February</v>
      </c>
      <c r="C58" s="13">
        <v>44975</v>
      </c>
      <c r="D58" s="14" t="s">
        <v>105</v>
      </c>
      <c r="E58" s="14" t="s">
        <v>59</v>
      </c>
      <c r="F58" s="14" t="s">
        <v>116</v>
      </c>
      <c r="G58" s="14" t="s">
        <v>53</v>
      </c>
      <c r="H58" s="14" t="s">
        <v>68</v>
      </c>
      <c r="I58" s="14" t="s">
        <v>65</v>
      </c>
      <c r="J58" s="14" t="s">
        <v>99</v>
      </c>
      <c r="K58" s="12">
        <v>14</v>
      </c>
      <c r="L58" s="15">
        <v>3726</v>
      </c>
      <c r="M58" s="15">
        <v>52164</v>
      </c>
      <c r="N58" s="16">
        <v>5</v>
      </c>
      <c r="O58" s="15">
        <v>2608</v>
      </c>
      <c r="P58" s="15">
        <v>49556</v>
      </c>
      <c r="Q58" s="15">
        <v>23051</v>
      </c>
      <c r="R58" s="15">
        <v>26505</v>
      </c>
      <c r="S58" s="12">
        <v>2</v>
      </c>
      <c r="T58" s="15">
        <v>7079</v>
      </c>
      <c r="U58" s="17">
        <v>4.5</v>
      </c>
    </row>
    <row r="59" spans="1:21" x14ac:dyDescent="0.35">
      <c r="A59" s="18" t="s">
        <v>172</v>
      </c>
      <c r="B59" s="12" t="str">
        <f t="shared" si="0"/>
        <v>February</v>
      </c>
      <c r="C59" s="19">
        <v>44976</v>
      </c>
      <c r="D59" s="20" t="s">
        <v>142</v>
      </c>
      <c r="E59" s="20" t="s">
        <v>58</v>
      </c>
      <c r="F59" s="20" t="s">
        <v>106</v>
      </c>
      <c r="G59" s="20" t="s">
        <v>49</v>
      </c>
      <c r="H59" s="20" t="s">
        <v>68</v>
      </c>
      <c r="I59" s="20" t="s">
        <v>67</v>
      </c>
      <c r="J59" s="20" t="s">
        <v>103</v>
      </c>
      <c r="K59" s="18">
        <v>13</v>
      </c>
      <c r="L59" s="21">
        <v>1671</v>
      </c>
      <c r="M59" s="21">
        <v>21723</v>
      </c>
      <c r="N59" s="22">
        <v>50</v>
      </c>
      <c r="O59" s="21">
        <v>10862</v>
      </c>
      <c r="P59" s="21">
        <v>10861</v>
      </c>
      <c r="Q59" s="21">
        <v>5903</v>
      </c>
      <c r="R59" s="21">
        <v>4958</v>
      </c>
      <c r="S59" s="18">
        <v>0</v>
      </c>
      <c r="T59" s="21">
        <v>0</v>
      </c>
      <c r="U59" s="23">
        <v>2.6</v>
      </c>
    </row>
    <row r="60" spans="1:21" x14ac:dyDescent="0.35">
      <c r="A60" s="12" t="s">
        <v>173</v>
      </c>
      <c r="B60" s="12" t="str">
        <f t="shared" si="0"/>
        <v>February</v>
      </c>
      <c r="C60" s="13">
        <v>44977</v>
      </c>
      <c r="D60" s="14" t="s">
        <v>120</v>
      </c>
      <c r="E60" s="14" t="s">
        <v>59</v>
      </c>
      <c r="F60" s="14" t="s">
        <v>102</v>
      </c>
      <c r="G60" s="14" t="s">
        <v>49</v>
      </c>
      <c r="H60" s="14" t="s">
        <v>64</v>
      </c>
      <c r="I60" s="14" t="s">
        <v>70</v>
      </c>
      <c r="J60" s="14" t="s">
        <v>95</v>
      </c>
      <c r="K60" s="12">
        <v>7</v>
      </c>
      <c r="L60" s="15">
        <v>2582</v>
      </c>
      <c r="M60" s="15">
        <v>18074</v>
      </c>
      <c r="N60" s="16">
        <v>15</v>
      </c>
      <c r="O60" s="15">
        <v>2711</v>
      </c>
      <c r="P60" s="15">
        <v>15363</v>
      </c>
      <c r="Q60" s="15">
        <v>10234</v>
      </c>
      <c r="R60" s="15">
        <v>5129</v>
      </c>
      <c r="S60" s="12">
        <v>0</v>
      </c>
      <c r="T60" s="15">
        <v>0</v>
      </c>
      <c r="U60" s="17">
        <v>2.9</v>
      </c>
    </row>
    <row r="61" spans="1:21" x14ac:dyDescent="0.35">
      <c r="A61" s="18" t="s">
        <v>174</v>
      </c>
      <c r="B61" s="12" t="str">
        <f t="shared" si="0"/>
        <v>February</v>
      </c>
      <c r="C61" s="19">
        <v>44977</v>
      </c>
      <c r="D61" s="20" t="s">
        <v>115</v>
      </c>
      <c r="E61" s="20" t="s">
        <v>56</v>
      </c>
      <c r="F61" s="20" t="s">
        <v>124</v>
      </c>
      <c r="G61" s="20" t="s">
        <v>49</v>
      </c>
      <c r="H61" s="20" t="s">
        <v>64</v>
      </c>
      <c r="I61" s="20" t="s">
        <v>70</v>
      </c>
      <c r="J61" s="20" t="s">
        <v>99</v>
      </c>
      <c r="K61" s="18">
        <v>8</v>
      </c>
      <c r="L61" s="21">
        <v>302</v>
      </c>
      <c r="M61" s="21">
        <v>2416</v>
      </c>
      <c r="N61" s="22">
        <v>30</v>
      </c>
      <c r="O61" s="21">
        <v>725</v>
      </c>
      <c r="P61" s="21">
        <v>1691</v>
      </c>
      <c r="Q61" s="21">
        <v>846</v>
      </c>
      <c r="R61" s="21">
        <v>845</v>
      </c>
      <c r="S61" s="18">
        <v>2</v>
      </c>
      <c r="T61" s="21">
        <v>423</v>
      </c>
      <c r="U61" s="23">
        <v>4.8</v>
      </c>
    </row>
    <row r="62" spans="1:21" x14ac:dyDescent="0.35">
      <c r="A62" s="12" t="s">
        <v>175</v>
      </c>
      <c r="B62" s="12" t="str">
        <f t="shared" si="0"/>
        <v>February</v>
      </c>
      <c r="C62" s="13">
        <v>44978</v>
      </c>
      <c r="D62" s="14" t="s">
        <v>101</v>
      </c>
      <c r="E62" s="14" t="s">
        <v>50</v>
      </c>
      <c r="F62" s="14" t="s">
        <v>94</v>
      </c>
      <c r="G62" s="14" t="s">
        <v>55</v>
      </c>
      <c r="H62" s="14" t="s">
        <v>64</v>
      </c>
      <c r="I62" s="14" t="s">
        <v>70</v>
      </c>
      <c r="J62" s="14" t="s">
        <v>95</v>
      </c>
      <c r="K62" s="12">
        <v>9</v>
      </c>
      <c r="L62" s="15">
        <v>4895</v>
      </c>
      <c r="M62" s="15">
        <v>44055</v>
      </c>
      <c r="N62" s="16">
        <v>10</v>
      </c>
      <c r="O62" s="15">
        <v>4406</v>
      </c>
      <c r="P62" s="15">
        <v>39649</v>
      </c>
      <c r="Q62" s="15">
        <v>21875</v>
      </c>
      <c r="R62" s="15">
        <v>17774</v>
      </c>
      <c r="S62" s="12">
        <v>1</v>
      </c>
      <c r="T62" s="15">
        <v>4406</v>
      </c>
      <c r="U62" s="17">
        <v>3.7</v>
      </c>
    </row>
    <row r="63" spans="1:21" x14ac:dyDescent="0.35">
      <c r="A63" s="18" t="s">
        <v>176</v>
      </c>
      <c r="B63" s="12" t="str">
        <f t="shared" si="0"/>
        <v>February</v>
      </c>
      <c r="C63" s="19">
        <v>44978</v>
      </c>
      <c r="D63" s="20" t="s">
        <v>131</v>
      </c>
      <c r="E63" s="20" t="s">
        <v>54</v>
      </c>
      <c r="F63" s="20" t="s">
        <v>106</v>
      </c>
      <c r="G63" s="20" t="s">
        <v>55</v>
      </c>
      <c r="H63" s="20" t="s">
        <v>68</v>
      </c>
      <c r="I63" s="20" t="s">
        <v>67</v>
      </c>
      <c r="J63" s="20" t="s">
        <v>99</v>
      </c>
      <c r="K63" s="18">
        <v>1</v>
      </c>
      <c r="L63" s="21">
        <v>768</v>
      </c>
      <c r="M63" s="21">
        <v>768</v>
      </c>
      <c r="N63" s="22">
        <v>10</v>
      </c>
      <c r="O63" s="21">
        <v>77</v>
      </c>
      <c r="P63" s="21">
        <v>691</v>
      </c>
      <c r="Q63" s="21">
        <v>462</v>
      </c>
      <c r="R63" s="21">
        <v>229</v>
      </c>
      <c r="S63" s="18">
        <v>1</v>
      </c>
      <c r="T63" s="21">
        <v>691</v>
      </c>
      <c r="U63" s="23">
        <v>3.4</v>
      </c>
    </row>
    <row r="64" spans="1:21" x14ac:dyDescent="0.35">
      <c r="A64" s="12" t="s">
        <v>177</v>
      </c>
      <c r="B64" s="12" t="str">
        <f t="shared" si="0"/>
        <v>February</v>
      </c>
      <c r="C64" s="13">
        <v>44978</v>
      </c>
      <c r="D64" s="14" t="s">
        <v>105</v>
      </c>
      <c r="E64" s="14" t="s">
        <v>56</v>
      </c>
      <c r="F64" s="14" t="s">
        <v>106</v>
      </c>
      <c r="G64" s="14" t="s">
        <v>57</v>
      </c>
      <c r="H64" s="14" t="s">
        <v>68</v>
      </c>
      <c r="I64" s="14" t="s">
        <v>70</v>
      </c>
      <c r="J64" s="14" t="s">
        <v>95</v>
      </c>
      <c r="K64" s="12">
        <v>9</v>
      </c>
      <c r="L64" s="15">
        <v>3386</v>
      </c>
      <c r="M64" s="15">
        <v>30474</v>
      </c>
      <c r="N64" s="16">
        <v>10</v>
      </c>
      <c r="O64" s="15">
        <v>3047</v>
      </c>
      <c r="P64" s="15">
        <v>27427</v>
      </c>
      <c r="Q64" s="15">
        <v>16171</v>
      </c>
      <c r="R64" s="15">
        <v>11256</v>
      </c>
      <c r="S64" s="12">
        <v>2</v>
      </c>
      <c r="T64" s="15">
        <v>6095</v>
      </c>
      <c r="U64" s="17">
        <v>3.5</v>
      </c>
    </row>
    <row r="65" spans="1:21" x14ac:dyDescent="0.35">
      <c r="A65" s="18" t="s">
        <v>178</v>
      </c>
      <c r="B65" s="12" t="str">
        <f t="shared" si="0"/>
        <v>February</v>
      </c>
      <c r="C65" s="19">
        <v>44979</v>
      </c>
      <c r="D65" s="20" t="s">
        <v>105</v>
      </c>
      <c r="E65" s="20" t="s">
        <v>58</v>
      </c>
      <c r="F65" s="20" t="s">
        <v>151</v>
      </c>
      <c r="G65" s="20" t="s">
        <v>57</v>
      </c>
      <c r="H65" s="20" t="s">
        <v>68</v>
      </c>
      <c r="I65" s="20" t="s">
        <v>65</v>
      </c>
      <c r="J65" s="20" t="s">
        <v>99</v>
      </c>
      <c r="K65" s="18">
        <v>8</v>
      </c>
      <c r="L65" s="21">
        <v>1900</v>
      </c>
      <c r="M65" s="21">
        <v>15200</v>
      </c>
      <c r="N65" s="22">
        <v>0</v>
      </c>
      <c r="O65" s="21">
        <v>0</v>
      </c>
      <c r="P65" s="21">
        <v>15200</v>
      </c>
      <c r="Q65" s="21">
        <v>7799</v>
      </c>
      <c r="R65" s="21">
        <v>7401</v>
      </c>
      <c r="S65" s="18">
        <v>1</v>
      </c>
      <c r="T65" s="21">
        <v>1900</v>
      </c>
      <c r="U65" s="23">
        <v>2.8</v>
      </c>
    </row>
    <row r="66" spans="1:21" x14ac:dyDescent="0.35">
      <c r="A66" s="12" t="s">
        <v>179</v>
      </c>
      <c r="B66" s="12" t="str">
        <f t="shared" ref="B66:B129" si="1">TEXT(C66,"MMMM")</f>
        <v>February</v>
      </c>
      <c r="C66" s="13">
        <v>44979</v>
      </c>
      <c r="D66" s="14" t="s">
        <v>122</v>
      </c>
      <c r="E66" s="14" t="s">
        <v>52</v>
      </c>
      <c r="F66" s="14" t="s">
        <v>98</v>
      </c>
      <c r="G66" s="14" t="s">
        <v>51</v>
      </c>
      <c r="H66" s="14" t="s">
        <v>68</v>
      </c>
      <c r="I66" s="14" t="s">
        <v>65</v>
      </c>
      <c r="J66" s="14" t="s">
        <v>103</v>
      </c>
      <c r="K66" s="12">
        <v>9</v>
      </c>
      <c r="L66" s="15">
        <v>2707</v>
      </c>
      <c r="M66" s="15">
        <v>24363</v>
      </c>
      <c r="N66" s="16">
        <v>5</v>
      </c>
      <c r="O66" s="15">
        <v>1218</v>
      </c>
      <c r="P66" s="15">
        <v>23145</v>
      </c>
      <c r="Q66" s="15">
        <v>10567</v>
      </c>
      <c r="R66" s="15">
        <v>12578</v>
      </c>
      <c r="S66" s="12">
        <v>1</v>
      </c>
      <c r="T66" s="15">
        <v>2572</v>
      </c>
      <c r="U66" s="17">
        <v>3.9</v>
      </c>
    </row>
    <row r="67" spans="1:21" x14ac:dyDescent="0.35">
      <c r="A67" s="18" t="s">
        <v>180</v>
      </c>
      <c r="B67" s="12" t="str">
        <f t="shared" si="1"/>
        <v>February</v>
      </c>
      <c r="C67" s="19">
        <v>44979</v>
      </c>
      <c r="D67" s="20" t="s">
        <v>113</v>
      </c>
      <c r="E67" s="20" t="s">
        <v>59</v>
      </c>
      <c r="F67" s="20" t="s">
        <v>98</v>
      </c>
      <c r="G67" s="20" t="s">
        <v>49</v>
      </c>
      <c r="H67" s="20" t="s">
        <v>66</v>
      </c>
      <c r="I67" s="20" t="s">
        <v>67</v>
      </c>
      <c r="J67" s="20" t="s">
        <v>99</v>
      </c>
      <c r="K67" s="18">
        <v>1</v>
      </c>
      <c r="L67" s="21">
        <v>4513</v>
      </c>
      <c r="M67" s="21">
        <v>4513</v>
      </c>
      <c r="N67" s="22">
        <v>10</v>
      </c>
      <c r="O67" s="21">
        <v>451</v>
      </c>
      <c r="P67" s="21">
        <v>4062</v>
      </c>
      <c r="Q67" s="21">
        <v>2491</v>
      </c>
      <c r="R67" s="21">
        <v>1571</v>
      </c>
      <c r="S67" s="18">
        <v>0</v>
      </c>
      <c r="T67" s="21">
        <v>0</v>
      </c>
      <c r="U67" s="23">
        <v>4.8</v>
      </c>
    </row>
    <row r="68" spans="1:21" x14ac:dyDescent="0.35">
      <c r="A68" s="12" t="s">
        <v>181</v>
      </c>
      <c r="B68" s="12" t="str">
        <f t="shared" si="1"/>
        <v>February</v>
      </c>
      <c r="C68" s="13">
        <v>44980</v>
      </c>
      <c r="D68" s="14" t="s">
        <v>120</v>
      </c>
      <c r="E68" s="14" t="s">
        <v>52</v>
      </c>
      <c r="F68" s="14" t="s">
        <v>102</v>
      </c>
      <c r="G68" s="14" t="s">
        <v>55</v>
      </c>
      <c r="H68" s="14" t="s">
        <v>66</v>
      </c>
      <c r="I68" s="14" t="s">
        <v>69</v>
      </c>
      <c r="J68" s="14" t="s">
        <v>103</v>
      </c>
      <c r="K68" s="12">
        <v>11</v>
      </c>
      <c r="L68" s="15">
        <v>1022</v>
      </c>
      <c r="M68" s="15">
        <v>11242</v>
      </c>
      <c r="N68" s="16">
        <v>40</v>
      </c>
      <c r="O68" s="15">
        <v>4497</v>
      </c>
      <c r="P68" s="15">
        <v>6745</v>
      </c>
      <c r="Q68" s="15">
        <v>4244</v>
      </c>
      <c r="R68" s="15">
        <v>2501</v>
      </c>
      <c r="S68" s="12">
        <v>0</v>
      </c>
      <c r="T68" s="15">
        <v>0</v>
      </c>
      <c r="U68" s="17">
        <v>2.7</v>
      </c>
    </row>
    <row r="69" spans="1:21" x14ac:dyDescent="0.35">
      <c r="A69" s="18" t="s">
        <v>182</v>
      </c>
      <c r="B69" s="12" t="str">
        <f t="shared" si="1"/>
        <v>February</v>
      </c>
      <c r="C69" s="19">
        <v>44981</v>
      </c>
      <c r="D69" s="20" t="s">
        <v>122</v>
      </c>
      <c r="E69" s="20" t="s">
        <v>59</v>
      </c>
      <c r="F69" s="20" t="s">
        <v>98</v>
      </c>
      <c r="G69" s="20" t="s">
        <v>53</v>
      </c>
      <c r="H69" s="20" t="s">
        <v>64</v>
      </c>
      <c r="I69" s="20" t="s">
        <v>71</v>
      </c>
      <c r="J69" s="20" t="s">
        <v>103</v>
      </c>
      <c r="K69" s="18">
        <v>9</v>
      </c>
      <c r="L69" s="21">
        <v>2922</v>
      </c>
      <c r="M69" s="21">
        <v>26298</v>
      </c>
      <c r="N69" s="22">
        <v>15</v>
      </c>
      <c r="O69" s="21">
        <v>3945</v>
      </c>
      <c r="P69" s="21">
        <v>22353</v>
      </c>
      <c r="Q69" s="21">
        <v>12550</v>
      </c>
      <c r="R69" s="21">
        <v>9803</v>
      </c>
      <c r="S69" s="18">
        <v>1</v>
      </c>
      <c r="T69" s="21">
        <v>2484</v>
      </c>
      <c r="U69" s="23">
        <v>3.7</v>
      </c>
    </row>
    <row r="70" spans="1:21" x14ac:dyDescent="0.35">
      <c r="A70" s="12" t="s">
        <v>183</v>
      </c>
      <c r="B70" s="12" t="str">
        <f t="shared" si="1"/>
        <v>February</v>
      </c>
      <c r="C70" s="13">
        <v>44981</v>
      </c>
      <c r="D70" s="14" t="s">
        <v>113</v>
      </c>
      <c r="E70" s="14" t="s">
        <v>54</v>
      </c>
      <c r="F70" s="14" t="s">
        <v>108</v>
      </c>
      <c r="G70" s="14" t="s">
        <v>57</v>
      </c>
      <c r="H70" s="14" t="s">
        <v>64</v>
      </c>
      <c r="I70" s="14" t="s">
        <v>67</v>
      </c>
      <c r="J70" s="14" t="s">
        <v>99</v>
      </c>
      <c r="K70" s="12">
        <v>7</v>
      </c>
      <c r="L70" s="15">
        <v>2156</v>
      </c>
      <c r="M70" s="15">
        <v>15092</v>
      </c>
      <c r="N70" s="16">
        <v>0</v>
      </c>
      <c r="O70" s="15">
        <v>0</v>
      </c>
      <c r="P70" s="15">
        <v>15092</v>
      </c>
      <c r="Q70" s="15">
        <v>8580</v>
      </c>
      <c r="R70" s="15">
        <v>6512</v>
      </c>
      <c r="S70" s="12">
        <v>0</v>
      </c>
      <c r="T70" s="15">
        <v>0</v>
      </c>
      <c r="U70" s="17">
        <v>2.8</v>
      </c>
    </row>
    <row r="71" spans="1:21" x14ac:dyDescent="0.35">
      <c r="A71" s="18" t="s">
        <v>184</v>
      </c>
      <c r="B71" s="12" t="str">
        <f t="shared" si="1"/>
        <v>February</v>
      </c>
      <c r="C71" s="19">
        <v>44981</v>
      </c>
      <c r="D71" s="20" t="s">
        <v>105</v>
      </c>
      <c r="E71" s="20" t="s">
        <v>56</v>
      </c>
      <c r="F71" s="20" t="s">
        <v>94</v>
      </c>
      <c r="G71" s="20" t="s">
        <v>55</v>
      </c>
      <c r="H71" s="20" t="s">
        <v>64</v>
      </c>
      <c r="I71" s="20" t="s">
        <v>65</v>
      </c>
      <c r="J71" s="20" t="s">
        <v>103</v>
      </c>
      <c r="K71" s="18">
        <v>4</v>
      </c>
      <c r="L71" s="21">
        <v>957</v>
      </c>
      <c r="M71" s="21">
        <v>3828</v>
      </c>
      <c r="N71" s="22">
        <v>15</v>
      </c>
      <c r="O71" s="21">
        <v>574</v>
      </c>
      <c r="P71" s="21">
        <v>3254</v>
      </c>
      <c r="Q71" s="21">
        <v>1485</v>
      </c>
      <c r="R71" s="21">
        <v>1769</v>
      </c>
      <c r="S71" s="18">
        <v>0</v>
      </c>
      <c r="T71" s="21">
        <v>0</v>
      </c>
      <c r="U71" s="23">
        <v>3.7</v>
      </c>
    </row>
    <row r="72" spans="1:21" x14ac:dyDescent="0.35">
      <c r="A72" s="12" t="s">
        <v>185</v>
      </c>
      <c r="B72" s="12" t="str">
        <f t="shared" si="1"/>
        <v>February</v>
      </c>
      <c r="C72" s="13">
        <v>44982</v>
      </c>
      <c r="D72" s="14" t="s">
        <v>97</v>
      </c>
      <c r="E72" s="14" t="s">
        <v>52</v>
      </c>
      <c r="F72" s="14" t="s">
        <v>98</v>
      </c>
      <c r="G72" s="14" t="s">
        <v>51</v>
      </c>
      <c r="H72" s="14" t="s">
        <v>68</v>
      </c>
      <c r="I72" s="14" t="s">
        <v>65</v>
      </c>
      <c r="J72" s="14" t="s">
        <v>99</v>
      </c>
      <c r="K72" s="12">
        <v>7</v>
      </c>
      <c r="L72" s="15">
        <v>866</v>
      </c>
      <c r="M72" s="15">
        <v>6062</v>
      </c>
      <c r="N72" s="16">
        <v>25</v>
      </c>
      <c r="O72" s="15">
        <v>1516</v>
      </c>
      <c r="P72" s="15">
        <v>4546</v>
      </c>
      <c r="Q72" s="15">
        <v>3142</v>
      </c>
      <c r="R72" s="15">
        <v>1404</v>
      </c>
      <c r="S72" s="12">
        <v>0</v>
      </c>
      <c r="T72" s="15">
        <v>0</v>
      </c>
      <c r="U72" s="17">
        <v>3.6</v>
      </c>
    </row>
    <row r="73" spans="1:21" x14ac:dyDescent="0.35">
      <c r="A73" s="18" t="s">
        <v>186</v>
      </c>
      <c r="B73" s="12" t="str">
        <f t="shared" si="1"/>
        <v>February</v>
      </c>
      <c r="C73" s="19">
        <v>44982</v>
      </c>
      <c r="D73" s="20" t="s">
        <v>97</v>
      </c>
      <c r="E73" s="20" t="s">
        <v>50</v>
      </c>
      <c r="F73" s="20" t="s">
        <v>124</v>
      </c>
      <c r="G73" s="20" t="s">
        <v>49</v>
      </c>
      <c r="H73" s="20" t="s">
        <v>64</v>
      </c>
      <c r="I73" s="20" t="s">
        <v>71</v>
      </c>
      <c r="J73" s="20" t="s">
        <v>103</v>
      </c>
      <c r="K73" s="18">
        <v>7</v>
      </c>
      <c r="L73" s="21">
        <v>4923</v>
      </c>
      <c r="M73" s="21">
        <v>34461</v>
      </c>
      <c r="N73" s="22">
        <v>0</v>
      </c>
      <c r="O73" s="21">
        <v>0</v>
      </c>
      <c r="P73" s="21">
        <v>34461</v>
      </c>
      <c r="Q73" s="21">
        <v>20312</v>
      </c>
      <c r="R73" s="21">
        <v>14149</v>
      </c>
      <c r="S73" s="18">
        <v>0</v>
      </c>
      <c r="T73" s="21">
        <v>0</v>
      </c>
      <c r="U73" s="23">
        <v>3</v>
      </c>
    </row>
    <row r="74" spans="1:21" x14ac:dyDescent="0.35">
      <c r="A74" s="12" t="s">
        <v>187</v>
      </c>
      <c r="B74" s="12" t="str">
        <f t="shared" si="1"/>
        <v>February</v>
      </c>
      <c r="C74" s="13">
        <v>44983</v>
      </c>
      <c r="D74" s="14" t="s">
        <v>142</v>
      </c>
      <c r="E74" s="14" t="s">
        <v>54</v>
      </c>
      <c r="F74" s="14" t="s">
        <v>134</v>
      </c>
      <c r="G74" s="14" t="s">
        <v>55</v>
      </c>
      <c r="H74" s="14" t="s">
        <v>66</v>
      </c>
      <c r="I74" s="14" t="s">
        <v>67</v>
      </c>
      <c r="J74" s="14" t="s">
        <v>95</v>
      </c>
      <c r="K74" s="12">
        <v>4</v>
      </c>
      <c r="L74" s="15">
        <v>2157</v>
      </c>
      <c r="M74" s="15">
        <v>8628</v>
      </c>
      <c r="N74" s="16">
        <v>0</v>
      </c>
      <c r="O74" s="15">
        <v>0</v>
      </c>
      <c r="P74" s="15">
        <v>8628</v>
      </c>
      <c r="Q74" s="15">
        <v>3899</v>
      </c>
      <c r="R74" s="15">
        <v>4729</v>
      </c>
      <c r="S74" s="12">
        <v>1</v>
      </c>
      <c r="T74" s="15">
        <v>2157</v>
      </c>
      <c r="U74" s="17">
        <v>4.9000000000000004</v>
      </c>
    </row>
    <row r="75" spans="1:21" x14ac:dyDescent="0.35">
      <c r="A75" s="18" t="s">
        <v>188</v>
      </c>
      <c r="B75" s="12" t="str">
        <f t="shared" si="1"/>
        <v>February</v>
      </c>
      <c r="C75" s="19">
        <v>44983</v>
      </c>
      <c r="D75" s="20" t="s">
        <v>142</v>
      </c>
      <c r="E75" s="20" t="s">
        <v>58</v>
      </c>
      <c r="F75" s="20" t="s">
        <v>102</v>
      </c>
      <c r="G75" s="20" t="s">
        <v>53</v>
      </c>
      <c r="H75" s="20" t="s">
        <v>64</v>
      </c>
      <c r="I75" s="20" t="s">
        <v>67</v>
      </c>
      <c r="J75" s="20" t="s">
        <v>103</v>
      </c>
      <c r="K75" s="18">
        <v>11</v>
      </c>
      <c r="L75" s="21">
        <v>2158</v>
      </c>
      <c r="M75" s="21">
        <v>23738</v>
      </c>
      <c r="N75" s="22">
        <v>5</v>
      </c>
      <c r="O75" s="21">
        <v>1187</v>
      </c>
      <c r="P75" s="21">
        <v>22551</v>
      </c>
      <c r="Q75" s="21">
        <v>12045</v>
      </c>
      <c r="R75" s="21">
        <v>10506</v>
      </c>
      <c r="S75" s="18">
        <v>1</v>
      </c>
      <c r="T75" s="21">
        <v>2050</v>
      </c>
      <c r="U75" s="23">
        <v>2.8</v>
      </c>
    </row>
    <row r="76" spans="1:21" x14ac:dyDescent="0.35">
      <c r="A76" s="12" t="s">
        <v>189</v>
      </c>
      <c r="B76" s="12" t="str">
        <f t="shared" si="1"/>
        <v>February</v>
      </c>
      <c r="C76" s="13">
        <v>44984</v>
      </c>
      <c r="D76" s="14" t="s">
        <v>93</v>
      </c>
      <c r="E76" s="14" t="s">
        <v>50</v>
      </c>
      <c r="F76" s="14" t="s">
        <v>111</v>
      </c>
      <c r="G76" s="14" t="s">
        <v>51</v>
      </c>
      <c r="H76" s="14" t="s">
        <v>66</v>
      </c>
      <c r="I76" s="14" t="s">
        <v>71</v>
      </c>
      <c r="J76" s="14" t="s">
        <v>103</v>
      </c>
      <c r="K76" s="12">
        <v>13</v>
      </c>
      <c r="L76" s="15">
        <v>4834</v>
      </c>
      <c r="M76" s="15">
        <v>62842</v>
      </c>
      <c r="N76" s="16">
        <v>5</v>
      </c>
      <c r="O76" s="15">
        <v>3142</v>
      </c>
      <c r="P76" s="15">
        <v>59700</v>
      </c>
      <c r="Q76" s="15">
        <v>40670</v>
      </c>
      <c r="R76" s="15">
        <v>19030</v>
      </c>
      <c r="S76" s="12">
        <v>0</v>
      </c>
      <c r="T76" s="15">
        <v>0</v>
      </c>
      <c r="U76" s="17">
        <v>4.5</v>
      </c>
    </row>
    <row r="77" spans="1:21" x14ac:dyDescent="0.35">
      <c r="A77" s="18" t="s">
        <v>190</v>
      </c>
      <c r="B77" s="12" t="str">
        <f t="shared" si="1"/>
        <v>February</v>
      </c>
      <c r="C77" s="19">
        <v>44984</v>
      </c>
      <c r="D77" s="20" t="s">
        <v>122</v>
      </c>
      <c r="E77" s="20" t="s">
        <v>52</v>
      </c>
      <c r="F77" s="20" t="s">
        <v>151</v>
      </c>
      <c r="G77" s="20" t="s">
        <v>51</v>
      </c>
      <c r="H77" s="20" t="s">
        <v>64</v>
      </c>
      <c r="I77" s="20" t="s">
        <v>65</v>
      </c>
      <c r="J77" s="20" t="s">
        <v>103</v>
      </c>
      <c r="K77" s="18">
        <v>8</v>
      </c>
      <c r="L77" s="21">
        <v>4070</v>
      </c>
      <c r="M77" s="21">
        <v>32560</v>
      </c>
      <c r="N77" s="22">
        <v>40</v>
      </c>
      <c r="O77" s="21">
        <v>13024</v>
      </c>
      <c r="P77" s="21">
        <v>19536</v>
      </c>
      <c r="Q77" s="21">
        <v>9676</v>
      </c>
      <c r="R77" s="21">
        <v>9860</v>
      </c>
      <c r="S77" s="18">
        <v>1</v>
      </c>
      <c r="T77" s="21">
        <v>2442</v>
      </c>
      <c r="U77" s="23">
        <v>4.4000000000000004</v>
      </c>
    </row>
    <row r="78" spans="1:21" x14ac:dyDescent="0.35">
      <c r="A78" s="12" t="s">
        <v>191</v>
      </c>
      <c r="B78" s="12" t="str">
        <f t="shared" si="1"/>
        <v>March</v>
      </c>
      <c r="C78" s="13">
        <v>44986</v>
      </c>
      <c r="D78" s="14" t="s">
        <v>97</v>
      </c>
      <c r="E78" s="14" t="s">
        <v>54</v>
      </c>
      <c r="F78" s="14" t="s">
        <v>116</v>
      </c>
      <c r="G78" s="14" t="s">
        <v>55</v>
      </c>
      <c r="H78" s="14" t="s">
        <v>68</v>
      </c>
      <c r="I78" s="14" t="s">
        <v>67</v>
      </c>
      <c r="J78" s="14" t="s">
        <v>95</v>
      </c>
      <c r="K78" s="12">
        <v>11</v>
      </c>
      <c r="L78" s="15">
        <v>2856</v>
      </c>
      <c r="M78" s="15">
        <v>31416</v>
      </c>
      <c r="N78" s="16">
        <v>10</v>
      </c>
      <c r="O78" s="15">
        <v>3142</v>
      </c>
      <c r="P78" s="15">
        <v>28274</v>
      </c>
      <c r="Q78" s="15">
        <v>15346</v>
      </c>
      <c r="R78" s="15">
        <v>12928</v>
      </c>
      <c r="S78" s="12">
        <v>1</v>
      </c>
      <c r="T78" s="15">
        <v>2570</v>
      </c>
      <c r="U78" s="17">
        <v>3.4</v>
      </c>
    </row>
    <row r="79" spans="1:21" x14ac:dyDescent="0.35">
      <c r="A79" s="18" t="s">
        <v>192</v>
      </c>
      <c r="B79" s="12" t="str">
        <f t="shared" si="1"/>
        <v>March</v>
      </c>
      <c r="C79" s="19">
        <v>44987</v>
      </c>
      <c r="D79" s="20" t="s">
        <v>97</v>
      </c>
      <c r="E79" s="20" t="s">
        <v>52</v>
      </c>
      <c r="F79" s="20" t="s">
        <v>106</v>
      </c>
      <c r="G79" s="20" t="s">
        <v>49</v>
      </c>
      <c r="H79" s="20" t="s">
        <v>66</v>
      </c>
      <c r="I79" s="20" t="s">
        <v>67</v>
      </c>
      <c r="J79" s="20" t="s">
        <v>95</v>
      </c>
      <c r="K79" s="18">
        <v>8</v>
      </c>
      <c r="L79" s="21">
        <v>2638</v>
      </c>
      <c r="M79" s="21">
        <v>21104</v>
      </c>
      <c r="N79" s="22">
        <v>40</v>
      </c>
      <c r="O79" s="21">
        <v>8442</v>
      </c>
      <c r="P79" s="21">
        <v>12662</v>
      </c>
      <c r="Q79" s="21">
        <v>7418</v>
      </c>
      <c r="R79" s="21">
        <v>5244</v>
      </c>
      <c r="S79" s="18">
        <v>0</v>
      </c>
      <c r="T79" s="21">
        <v>0</v>
      </c>
      <c r="U79" s="23">
        <v>4</v>
      </c>
    </row>
    <row r="80" spans="1:21" x14ac:dyDescent="0.35">
      <c r="A80" s="12" t="s">
        <v>193</v>
      </c>
      <c r="B80" s="12" t="str">
        <f t="shared" si="1"/>
        <v>March</v>
      </c>
      <c r="C80" s="13">
        <v>44988</v>
      </c>
      <c r="D80" s="14" t="s">
        <v>142</v>
      </c>
      <c r="E80" s="14" t="s">
        <v>58</v>
      </c>
      <c r="F80" s="14" t="s">
        <v>116</v>
      </c>
      <c r="G80" s="14" t="s">
        <v>51</v>
      </c>
      <c r="H80" s="14" t="s">
        <v>68</v>
      </c>
      <c r="I80" s="14" t="s">
        <v>69</v>
      </c>
      <c r="J80" s="14" t="s">
        <v>95</v>
      </c>
      <c r="K80" s="12">
        <v>7</v>
      </c>
      <c r="L80" s="15">
        <v>719</v>
      </c>
      <c r="M80" s="15">
        <v>5033</v>
      </c>
      <c r="N80" s="16">
        <v>5</v>
      </c>
      <c r="O80" s="15">
        <v>252</v>
      </c>
      <c r="P80" s="15">
        <v>4781</v>
      </c>
      <c r="Q80" s="15">
        <v>2275</v>
      </c>
      <c r="R80" s="15">
        <v>2506</v>
      </c>
      <c r="S80" s="12">
        <v>1</v>
      </c>
      <c r="T80" s="15">
        <v>683</v>
      </c>
      <c r="U80" s="17">
        <v>4.7</v>
      </c>
    </row>
    <row r="81" spans="1:21" x14ac:dyDescent="0.35">
      <c r="A81" s="18" t="s">
        <v>194</v>
      </c>
      <c r="B81" s="12" t="str">
        <f t="shared" si="1"/>
        <v>March</v>
      </c>
      <c r="C81" s="19">
        <v>44990</v>
      </c>
      <c r="D81" s="20" t="s">
        <v>120</v>
      </c>
      <c r="E81" s="20" t="s">
        <v>54</v>
      </c>
      <c r="F81" s="20" t="s">
        <v>151</v>
      </c>
      <c r="G81" s="20" t="s">
        <v>55</v>
      </c>
      <c r="H81" s="20" t="s">
        <v>66</v>
      </c>
      <c r="I81" s="20" t="s">
        <v>67</v>
      </c>
      <c r="J81" s="20" t="s">
        <v>103</v>
      </c>
      <c r="K81" s="18">
        <v>10</v>
      </c>
      <c r="L81" s="21">
        <v>527</v>
      </c>
      <c r="M81" s="21">
        <v>5270</v>
      </c>
      <c r="N81" s="22">
        <v>0</v>
      </c>
      <c r="O81" s="21">
        <v>0</v>
      </c>
      <c r="P81" s="21">
        <v>5270</v>
      </c>
      <c r="Q81" s="21">
        <v>3244</v>
      </c>
      <c r="R81" s="21">
        <v>2026</v>
      </c>
      <c r="S81" s="18">
        <v>2</v>
      </c>
      <c r="T81" s="21">
        <v>1054</v>
      </c>
      <c r="U81" s="23">
        <v>4.5999999999999996</v>
      </c>
    </row>
    <row r="82" spans="1:21" x14ac:dyDescent="0.35">
      <c r="A82" s="12" t="s">
        <v>195</v>
      </c>
      <c r="B82" s="12" t="str">
        <f t="shared" si="1"/>
        <v>March</v>
      </c>
      <c r="C82" s="13">
        <v>44991</v>
      </c>
      <c r="D82" s="14" t="s">
        <v>120</v>
      </c>
      <c r="E82" s="14" t="s">
        <v>50</v>
      </c>
      <c r="F82" s="14" t="s">
        <v>106</v>
      </c>
      <c r="G82" s="14" t="s">
        <v>53</v>
      </c>
      <c r="H82" s="14" t="s">
        <v>66</v>
      </c>
      <c r="I82" s="14" t="s">
        <v>67</v>
      </c>
      <c r="J82" s="14" t="s">
        <v>99</v>
      </c>
      <c r="K82" s="12">
        <v>12</v>
      </c>
      <c r="L82" s="15">
        <v>1206</v>
      </c>
      <c r="M82" s="15">
        <v>14472</v>
      </c>
      <c r="N82" s="16">
        <v>30</v>
      </c>
      <c r="O82" s="15">
        <v>4342</v>
      </c>
      <c r="P82" s="15">
        <v>10130</v>
      </c>
      <c r="Q82" s="15">
        <v>5466</v>
      </c>
      <c r="R82" s="15">
        <v>4664</v>
      </c>
      <c r="S82" s="12">
        <v>1</v>
      </c>
      <c r="T82" s="15">
        <v>844</v>
      </c>
      <c r="U82" s="17">
        <v>3.1</v>
      </c>
    </row>
    <row r="83" spans="1:21" x14ac:dyDescent="0.35">
      <c r="A83" s="18" t="s">
        <v>196</v>
      </c>
      <c r="B83" s="12" t="str">
        <f t="shared" si="1"/>
        <v>March</v>
      </c>
      <c r="C83" s="19">
        <v>44992</v>
      </c>
      <c r="D83" s="20" t="s">
        <v>97</v>
      </c>
      <c r="E83" s="20" t="s">
        <v>56</v>
      </c>
      <c r="F83" s="20" t="s">
        <v>102</v>
      </c>
      <c r="G83" s="20" t="s">
        <v>49</v>
      </c>
      <c r="H83" s="20" t="s">
        <v>66</v>
      </c>
      <c r="I83" s="20" t="s">
        <v>65</v>
      </c>
      <c r="J83" s="20" t="s">
        <v>103</v>
      </c>
      <c r="K83" s="18">
        <v>6</v>
      </c>
      <c r="L83" s="21">
        <v>385</v>
      </c>
      <c r="M83" s="21">
        <v>2310</v>
      </c>
      <c r="N83" s="22">
        <v>20</v>
      </c>
      <c r="O83" s="21">
        <v>462</v>
      </c>
      <c r="P83" s="21">
        <v>1848</v>
      </c>
      <c r="Q83" s="21">
        <v>915</v>
      </c>
      <c r="R83" s="21">
        <v>933</v>
      </c>
      <c r="S83" s="18">
        <v>0</v>
      </c>
      <c r="T83" s="21">
        <v>0</v>
      </c>
      <c r="U83" s="23">
        <v>3.4</v>
      </c>
    </row>
    <row r="84" spans="1:21" x14ac:dyDescent="0.35">
      <c r="A84" s="12" t="s">
        <v>197</v>
      </c>
      <c r="B84" s="12" t="str">
        <f t="shared" si="1"/>
        <v>March</v>
      </c>
      <c r="C84" s="13">
        <v>44992</v>
      </c>
      <c r="D84" s="14" t="s">
        <v>142</v>
      </c>
      <c r="E84" s="14" t="s">
        <v>59</v>
      </c>
      <c r="F84" s="14" t="s">
        <v>116</v>
      </c>
      <c r="G84" s="14" t="s">
        <v>53</v>
      </c>
      <c r="H84" s="14" t="s">
        <v>68</v>
      </c>
      <c r="I84" s="14" t="s">
        <v>71</v>
      </c>
      <c r="J84" s="14" t="s">
        <v>99</v>
      </c>
      <c r="K84" s="12">
        <v>13</v>
      </c>
      <c r="L84" s="15">
        <v>977</v>
      </c>
      <c r="M84" s="15">
        <v>12701</v>
      </c>
      <c r="N84" s="16">
        <v>50</v>
      </c>
      <c r="O84" s="15">
        <v>6350</v>
      </c>
      <c r="P84" s="15">
        <v>6351</v>
      </c>
      <c r="Q84" s="15">
        <v>3495</v>
      </c>
      <c r="R84" s="15">
        <v>2856</v>
      </c>
      <c r="S84" s="12">
        <v>0</v>
      </c>
      <c r="T84" s="15">
        <v>0</v>
      </c>
      <c r="U84" s="17">
        <v>2.6</v>
      </c>
    </row>
    <row r="85" spans="1:21" x14ac:dyDescent="0.35">
      <c r="A85" s="18" t="s">
        <v>198</v>
      </c>
      <c r="B85" s="12" t="str">
        <f t="shared" si="1"/>
        <v>March</v>
      </c>
      <c r="C85" s="19">
        <v>44992</v>
      </c>
      <c r="D85" s="20" t="s">
        <v>142</v>
      </c>
      <c r="E85" s="20" t="s">
        <v>52</v>
      </c>
      <c r="F85" s="20" t="s">
        <v>151</v>
      </c>
      <c r="G85" s="20" t="s">
        <v>57</v>
      </c>
      <c r="H85" s="20" t="s">
        <v>68</v>
      </c>
      <c r="I85" s="20" t="s">
        <v>71</v>
      </c>
      <c r="J85" s="20" t="s">
        <v>95</v>
      </c>
      <c r="K85" s="18">
        <v>3</v>
      </c>
      <c r="L85" s="21">
        <v>3130</v>
      </c>
      <c r="M85" s="21">
        <v>9390</v>
      </c>
      <c r="N85" s="22">
        <v>15</v>
      </c>
      <c r="O85" s="21">
        <v>1408</v>
      </c>
      <c r="P85" s="21">
        <v>7982</v>
      </c>
      <c r="Q85" s="21">
        <v>4868</v>
      </c>
      <c r="R85" s="21">
        <v>3114</v>
      </c>
      <c r="S85" s="18">
        <v>0</v>
      </c>
      <c r="T85" s="21">
        <v>0</v>
      </c>
      <c r="U85" s="23">
        <v>4.8</v>
      </c>
    </row>
    <row r="86" spans="1:21" x14ac:dyDescent="0.35">
      <c r="A86" s="12" t="s">
        <v>199</v>
      </c>
      <c r="B86" s="12" t="str">
        <f t="shared" si="1"/>
        <v>March</v>
      </c>
      <c r="C86" s="13">
        <v>44993</v>
      </c>
      <c r="D86" s="14" t="s">
        <v>131</v>
      </c>
      <c r="E86" s="14" t="s">
        <v>48</v>
      </c>
      <c r="F86" s="14" t="s">
        <v>98</v>
      </c>
      <c r="G86" s="14" t="s">
        <v>49</v>
      </c>
      <c r="H86" s="14" t="s">
        <v>68</v>
      </c>
      <c r="I86" s="14" t="s">
        <v>65</v>
      </c>
      <c r="J86" s="14" t="s">
        <v>103</v>
      </c>
      <c r="K86" s="12">
        <v>12</v>
      </c>
      <c r="L86" s="15">
        <v>2549</v>
      </c>
      <c r="M86" s="15">
        <v>30588</v>
      </c>
      <c r="N86" s="16">
        <v>30</v>
      </c>
      <c r="O86" s="15">
        <v>9176</v>
      </c>
      <c r="P86" s="15">
        <v>21412</v>
      </c>
      <c r="Q86" s="15">
        <v>13753</v>
      </c>
      <c r="R86" s="15">
        <v>7659</v>
      </c>
      <c r="S86" s="12">
        <v>0</v>
      </c>
      <c r="T86" s="15">
        <v>0</v>
      </c>
      <c r="U86" s="17">
        <v>2.8</v>
      </c>
    </row>
    <row r="87" spans="1:21" x14ac:dyDescent="0.35">
      <c r="A87" s="18" t="s">
        <v>200</v>
      </c>
      <c r="B87" s="12" t="str">
        <f t="shared" si="1"/>
        <v>March</v>
      </c>
      <c r="C87" s="19">
        <v>44993</v>
      </c>
      <c r="D87" s="20" t="s">
        <v>131</v>
      </c>
      <c r="E87" s="20" t="s">
        <v>48</v>
      </c>
      <c r="F87" s="20" t="s">
        <v>116</v>
      </c>
      <c r="G87" s="20" t="s">
        <v>55</v>
      </c>
      <c r="H87" s="20" t="s">
        <v>68</v>
      </c>
      <c r="I87" s="20" t="s">
        <v>65</v>
      </c>
      <c r="J87" s="20" t="s">
        <v>99</v>
      </c>
      <c r="K87" s="18">
        <v>7</v>
      </c>
      <c r="L87" s="21">
        <v>321</v>
      </c>
      <c r="M87" s="21">
        <v>2247</v>
      </c>
      <c r="N87" s="22">
        <v>50</v>
      </c>
      <c r="O87" s="21">
        <v>1124</v>
      </c>
      <c r="P87" s="21">
        <v>1123</v>
      </c>
      <c r="Q87" s="21">
        <v>561</v>
      </c>
      <c r="R87" s="21">
        <v>562</v>
      </c>
      <c r="S87" s="18">
        <v>1</v>
      </c>
      <c r="T87" s="21">
        <v>160</v>
      </c>
      <c r="U87" s="23">
        <v>4.9000000000000004</v>
      </c>
    </row>
    <row r="88" spans="1:21" x14ac:dyDescent="0.35">
      <c r="A88" s="12" t="s">
        <v>201</v>
      </c>
      <c r="B88" s="12" t="str">
        <f t="shared" si="1"/>
        <v>March</v>
      </c>
      <c r="C88" s="13">
        <v>44994</v>
      </c>
      <c r="D88" s="14" t="s">
        <v>101</v>
      </c>
      <c r="E88" s="14" t="s">
        <v>48</v>
      </c>
      <c r="F88" s="14" t="s">
        <v>116</v>
      </c>
      <c r="G88" s="14" t="s">
        <v>51</v>
      </c>
      <c r="H88" s="14" t="s">
        <v>64</v>
      </c>
      <c r="I88" s="14" t="s">
        <v>70</v>
      </c>
      <c r="J88" s="14" t="s">
        <v>103</v>
      </c>
      <c r="K88" s="12">
        <v>13</v>
      </c>
      <c r="L88" s="15">
        <v>3235</v>
      </c>
      <c r="M88" s="15">
        <v>42055</v>
      </c>
      <c r="N88" s="16">
        <v>10</v>
      </c>
      <c r="O88" s="15">
        <v>4206</v>
      </c>
      <c r="P88" s="15">
        <v>37849</v>
      </c>
      <c r="Q88" s="15">
        <v>23856</v>
      </c>
      <c r="R88" s="15">
        <v>13993</v>
      </c>
      <c r="S88" s="12">
        <v>0</v>
      </c>
      <c r="T88" s="15">
        <v>0</v>
      </c>
      <c r="U88" s="17">
        <v>3.5</v>
      </c>
    </row>
    <row r="89" spans="1:21" x14ac:dyDescent="0.35">
      <c r="A89" s="18" t="s">
        <v>202</v>
      </c>
      <c r="B89" s="12" t="str">
        <f t="shared" si="1"/>
        <v>March</v>
      </c>
      <c r="C89" s="19">
        <v>44994</v>
      </c>
      <c r="D89" s="20" t="s">
        <v>93</v>
      </c>
      <c r="E89" s="20" t="s">
        <v>59</v>
      </c>
      <c r="F89" s="20" t="s">
        <v>151</v>
      </c>
      <c r="G89" s="20" t="s">
        <v>51</v>
      </c>
      <c r="H89" s="20" t="s">
        <v>66</v>
      </c>
      <c r="I89" s="20" t="s">
        <v>71</v>
      </c>
      <c r="J89" s="20" t="s">
        <v>103</v>
      </c>
      <c r="K89" s="18">
        <v>7</v>
      </c>
      <c r="L89" s="21">
        <v>4184</v>
      </c>
      <c r="M89" s="21">
        <v>29288</v>
      </c>
      <c r="N89" s="22">
        <v>5</v>
      </c>
      <c r="O89" s="21">
        <v>1464</v>
      </c>
      <c r="P89" s="21">
        <v>27824</v>
      </c>
      <c r="Q89" s="21">
        <v>13755</v>
      </c>
      <c r="R89" s="21">
        <v>14069</v>
      </c>
      <c r="S89" s="18">
        <v>0</v>
      </c>
      <c r="T89" s="21">
        <v>0</v>
      </c>
      <c r="U89" s="23">
        <v>4.7</v>
      </c>
    </row>
    <row r="90" spans="1:21" x14ac:dyDescent="0.35">
      <c r="A90" s="12" t="s">
        <v>203</v>
      </c>
      <c r="B90" s="12" t="str">
        <f t="shared" si="1"/>
        <v>March</v>
      </c>
      <c r="C90" s="13">
        <v>44996</v>
      </c>
      <c r="D90" s="14" t="s">
        <v>131</v>
      </c>
      <c r="E90" s="14" t="s">
        <v>50</v>
      </c>
      <c r="F90" s="14" t="s">
        <v>111</v>
      </c>
      <c r="G90" s="14" t="s">
        <v>57</v>
      </c>
      <c r="H90" s="14" t="s">
        <v>64</v>
      </c>
      <c r="I90" s="14" t="s">
        <v>67</v>
      </c>
      <c r="J90" s="14" t="s">
        <v>95</v>
      </c>
      <c r="K90" s="12">
        <v>9</v>
      </c>
      <c r="L90" s="15">
        <v>2804</v>
      </c>
      <c r="M90" s="15">
        <v>25236</v>
      </c>
      <c r="N90" s="16">
        <v>5</v>
      </c>
      <c r="O90" s="15">
        <v>1262</v>
      </c>
      <c r="P90" s="15">
        <v>23974</v>
      </c>
      <c r="Q90" s="15">
        <v>11892</v>
      </c>
      <c r="R90" s="15">
        <v>12082</v>
      </c>
      <c r="S90" s="12">
        <v>0</v>
      </c>
      <c r="T90" s="15">
        <v>0</v>
      </c>
      <c r="U90" s="17">
        <v>4.3</v>
      </c>
    </row>
    <row r="91" spans="1:21" x14ac:dyDescent="0.35">
      <c r="A91" s="18" t="s">
        <v>204</v>
      </c>
      <c r="B91" s="12" t="str">
        <f t="shared" si="1"/>
        <v>March</v>
      </c>
      <c r="C91" s="19">
        <v>44998</v>
      </c>
      <c r="D91" s="20" t="s">
        <v>93</v>
      </c>
      <c r="E91" s="20" t="s">
        <v>59</v>
      </c>
      <c r="F91" s="20" t="s">
        <v>151</v>
      </c>
      <c r="G91" s="20" t="s">
        <v>53</v>
      </c>
      <c r="H91" s="20" t="s">
        <v>68</v>
      </c>
      <c r="I91" s="20" t="s">
        <v>69</v>
      </c>
      <c r="J91" s="20" t="s">
        <v>95</v>
      </c>
      <c r="K91" s="18">
        <v>4</v>
      </c>
      <c r="L91" s="21">
        <v>4469</v>
      </c>
      <c r="M91" s="21">
        <v>17876</v>
      </c>
      <c r="N91" s="22">
        <v>10</v>
      </c>
      <c r="O91" s="21">
        <v>1788</v>
      </c>
      <c r="P91" s="21">
        <v>16088</v>
      </c>
      <c r="Q91" s="21">
        <v>8803</v>
      </c>
      <c r="R91" s="21">
        <v>7285</v>
      </c>
      <c r="S91" s="18">
        <v>1</v>
      </c>
      <c r="T91" s="21">
        <v>4022</v>
      </c>
      <c r="U91" s="23">
        <v>4.2</v>
      </c>
    </row>
    <row r="92" spans="1:21" x14ac:dyDescent="0.35">
      <c r="A92" s="12" t="s">
        <v>205</v>
      </c>
      <c r="B92" s="12" t="str">
        <f t="shared" si="1"/>
        <v>March</v>
      </c>
      <c r="C92" s="13">
        <v>45000</v>
      </c>
      <c r="D92" s="14" t="s">
        <v>142</v>
      </c>
      <c r="E92" s="14" t="s">
        <v>54</v>
      </c>
      <c r="F92" s="14" t="s">
        <v>111</v>
      </c>
      <c r="G92" s="14" t="s">
        <v>51</v>
      </c>
      <c r="H92" s="14" t="s">
        <v>66</v>
      </c>
      <c r="I92" s="14" t="s">
        <v>71</v>
      </c>
      <c r="J92" s="14" t="s">
        <v>103</v>
      </c>
      <c r="K92" s="12">
        <v>5</v>
      </c>
      <c r="L92" s="15">
        <v>3810</v>
      </c>
      <c r="M92" s="15">
        <v>19050</v>
      </c>
      <c r="N92" s="16">
        <v>30</v>
      </c>
      <c r="O92" s="15">
        <v>5715</v>
      </c>
      <c r="P92" s="15">
        <v>13335</v>
      </c>
      <c r="Q92" s="15">
        <v>8994</v>
      </c>
      <c r="R92" s="15">
        <v>4341</v>
      </c>
      <c r="S92" s="12">
        <v>1</v>
      </c>
      <c r="T92" s="15">
        <v>2667</v>
      </c>
      <c r="U92" s="17">
        <v>3.4</v>
      </c>
    </row>
    <row r="93" spans="1:21" x14ac:dyDescent="0.35">
      <c r="A93" s="18" t="s">
        <v>206</v>
      </c>
      <c r="B93" s="12" t="str">
        <f t="shared" si="1"/>
        <v>March</v>
      </c>
      <c r="C93" s="19">
        <v>45001</v>
      </c>
      <c r="D93" s="20" t="s">
        <v>115</v>
      </c>
      <c r="E93" s="20" t="s">
        <v>58</v>
      </c>
      <c r="F93" s="20" t="s">
        <v>111</v>
      </c>
      <c r="G93" s="20" t="s">
        <v>55</v>
      </c>
      <c r="H93" s="20" t="s">
        <v>64</v>
      </c>
      <c r="I93" s="20" t="s">
        <v>70</v>
      </c>
      <c r="J93" s="20" t="s">
        <v>99</v>
      </c>
      <c r="K93" s="18">
        <v>8</v>
      </c>
      <c r="L93" s="21">
        <v>931</v>
      </c>
      <c r="M93" s="21">
        <v>7448</v>
      </c>
      <c r="N93" s="22">
        <v>50</v>
      </c>
      <c r="O93" s="21">
        <v>3724</v>
      </c>
      <c r="P93" s="21">
        <v>3724</v>
      </c>
      <c r="Q93" s="21">
        <v>2173</v>
      </c>
      <c r="R93" s="21">
        <v>1551</v>
      </c>
      <c r="S93" s="18">
        <v>1</v>
      </c>
      <c r="T93" s="21">
        <v>466</v>
      </c>
      <c r="U93" s="23">
        <v>4.5</v>
      </c>
    </row>
    <row r="94" spans="1:21" x14ac:dyDescent="0.35">
      <c r="A94" s="12" t="s">
        <v>207</v>
      </c>
      <c r="B94" s="12" t="str">
        <f t="shared" si="1"/>
        <v>March</v>
      </c>
      <c r="C94" s="13">
        <v>45002</v>
      </c>
      <c r="D94" s="14" t="s">
        <v>93</v>
      </c>
      <c r="E94" s="14" t="s">
        <v>58</v>
      </c>
      <c r="F94" s="14" t="s">
        <v>108</v>
      </c>
      <c r="G94" s="14" t="s">
        <v>49</v>
      </c>
      <c r="H94" s="14" t="s">
        <v>68</v>
      </c>
      <c r="I94" s="14" t="s">
        <v>69</v>
      </c>
      <c r="J94" s="14" t="s">
        <v>99</v>
      </c>
      <c r="K94" s="12">
        <v>8</v>
      </c>
      <c r="L94" s="15">
        <v>2514</v>
      </c>
      <c r="M94" s="15">
        <v>20112</v>
      </c>
      <c r="N94" s="16">
        <v>25</v>
      </c>
      <c r="O94" s="15">
        <v>5028</v>
      </c>
      <c r="P94" s="15">
        <v>15084</v>
      </c>
      <c r="Q94" s="15">
        <v>7576</v>
      </c>
      <c r="R94" s="15">
        <v>7508</v>
      </c>
      <c r="S94" s="12">
        <v>2</v>
      </c>
      <c r="T94" s="15">
        <v>3771</v>
      </c>
      <c r="U94" s="17">
        <v>3</v>
      </c>
    </row>
    <row r="95" spans="1:21" x14ac:dyDescent="0.35">
      <c r="A95" s="18" t="s">
        <v>208</v>
      </c>
      <c r="B95" s="12" t="str">
        <f t="shared" si="1"/>
        <v>March</v>
      </c>
      <c r="C95" s="19">
        <v>45004</v>
      </c>
      <c r="D95" s="20" t="s">
        <v>120</v>
      </c>
      <c r="E95" s="20" t="s">
        <v>59</v>
      </c>
      <c r="F95" s="20" t="s">
        <v>102</v>
      </c>
      <c r="G95" s="20" t="s">
        <v>49</v>
      </c>
      <c r="H95" s="20" t="s">
        <v>64</v>
      </c>
      <c r="I95" s="20" t="s">
        <v>69</v>
      </c>
      <c r="J95" s="20" t="s">
        <v>99</v>
      </c>
      <c r="K95" s="18">
        <v>5</v>
      </c>
      <c r="L95" s="21">
        <v>887</v>
      </c>
      <c r="M95" s="21">
        <v>4435</v>
      </c>
      <c r="N95" s="22">
        <v>40</v>
      </c>
      <c r="O95" s="21">
        <v>1774</v>
      </c>
      <c r="P95" s="21">
        <v>2661</v>
      </c>
      <c r="Q95" s="21">
        <v>1681</v>
      </c>
      <c r="R95" s="21">
        <v>980</v>
      </c>
      <c r="S95" s="18">
        <v>0</v>
      </c>
      <c r="T95" s="21">
        <v>0</v>
      </c>
      <c r="U95" s="23">
        <v>2.7</v>
      </c>
    </row>
    <row r="96" spans="1:21" x14ac:dyDescent="0.35">
      <c r="A96" s="12" t="s">
        <v>209</v>
      </c>
      <c r="B96" s="12" t="str">
        <f t="shared" si="1"/>
        <v>March</v>
      </c>
      <c r="C96" s="13">
        <v>45005</v>
      </c>
      <c r="D96" s="14" t="s">
        <v>93</v>
      </c>
      <c r="E96" s="14" t="s">
        <v>56</v>
      </c>
      <c r="F96" s="14" t="s">
        <v>124</v>
      </c>
      <c r="G96" s="14" t="s">
        <v>49</v>
      </c>
      <c r="H96" s="14" t="s">
        <v>64</v>
      </c>
      <c r="I96" s="14" t="s">
        <v>69</v>
      </c>
      <c r="J96" s="14" t="s">
        <v>95</v>
      </c>
      <c r="K96" s="12">
        <v>7</v>
      </c>
      <c r="L96" s="15">
        <v>753</v>
      </c>
      <c r="M96" s="15">
        <v>5271</v>
      </c>
      <c r="N96" s="16">
        <v>25</v>
      </c>
      <c r="O96" s="15">
        <v>1318</v>
      </c>
      <c r="P96" s="15">
        <v>3953</v>
      </c>
      <c r="Q96" s="15">
        <v>2581</v>
      </c>
      <c r="R96" s="15">
        <v>1372</v>
      </c>
      <c r="S96" s="12">
        <v>0</v>
      </c>
      <c r="T96" s="15">
        <v>0</v>
      </c>
      <c r="U96" s="17">
        <v>4</v>
      </c>
    </row>
    <row r="97" spans="1:21" x14ac:dyDescent="0.35">
      <c r="A97" s="18" t="s">
        <v>210</v>
      </c>
      <c r="B97" s="12" t="str">
        <f t="shared" si="1"/>
        <v>March</v>
      </c>
      <c r="C97" s="19">
        <v>45005</v>
      </c>
      <c r="D97" s="20" t="s">
        <v>105</v>
      </c>
      <c r="E97" s="20" t="s">
        <v>59</v>
      </c>
      <c r="F97" s="20" t="s">
        <v>116</v>
      </c>
      <c r="G97" s="20" t="s">
        <v>55</v>
      </c>
      <c r="H97" s="20" t="s">
        <v>66</v>
      </c>
      <c r="I97" s="20" t="s">
        <v>71</v>
      </c>
      <c r="J97" s="20" t="s">
        <v>103</v>
      </c>
      <c r="K97" s="18">
        <v>2</v>
      </c>
      <c r="L97" s="21">
        <v>1343</v>
      </c>
      <c r="M97" s="21">
        <v>2686</v>
      </c>
      <c r="N97" s="22">
        <v>20</v>
      </c>
      <c r="O97" s="21">
        <v>537</v>
      </c>
      <c r="P97" s="21">
        <v>2149</v>
      </c>
      <c r="Q97" s="21">
        <v>1390</v>
      </c>
      <c r="R97" s="21">
        <v>759</v>
      </c>
      <c r="S97" s="18">
        <v>0</v>
      </c>
      <c r="T97" s="21">
        <v>0</v>
      </c>
      <c r="U97" s="23">
        <v>2.8</v>
      </c>
    </row>
    <row r="98" spans="1:21" x14ac:dyDescent="0.35">
      <c r="A98" s="12" t="s">
        <v>211</v>
      </c>
      <c r="B98" s="12" t="str">
        <f t="shared" si="1"/>
        <v>March</v>
      </c>
      <c r="C98" s="13">
        <v>45007</v>
      </c>
      <c r="D98" s="14" t="s">
        <v>142</v>
      </c>
      <c r="E98" s="14" t="s">
        <v>50</v>
      </c>
      <c r="F98" s="14" t="s">
        <v>151</v>
      </c>
      <c r="G98" s="14" t="s">
        <v>53</v>
      </c>
      <c r="H98" s="14" t="s">
        <v>66</v>
      </c>
      <c r="I98" s="14" t="s">
        <v>70</v>
      </c>
      <c r="J98" s="14" t="s">
        <v>103</v>
      </c>
      <c r="K98" s="12">
        <v>15</v>
      </c>
      <c r="L98" s="15">
        <v>799</v>
      </c>
      <c r="M98" s="15">
        <v>11985</v>
      </c>
      <c r="N98" s="16">
        <v>20</v>
      </c>
      <c r="O98" s="15">
        <v>2397</v>
      </c>
      <c r="P98" s="15">
        <v>9588</v>
      </c>
      <c r="Q98" s="15">
        <v>6332</v>
      </c>
      <c r="R98" s="15">
        <v>3256</v>
      </c>
      <c r="S98" s="12">
        <v>1</v>
      </c>
      <c r="T98" s="15">
        <v>639</v>
      </c>
      <c r="U98" s="17">
        <v>2.9</v>
      </c>
    </row>
    <row r="99" spans="1:21" x14ac:dyDescent="0.35">
      <c r="A99" s="18" t="s">
        <v>212</v>
      </c>
      <c r="B99" s="12" t="str">
        <f t="shared" si="1"/>
        <v>March</v>
      </c>
      <c r="C99" s="19">
        <v>45008</v>
      </c>
      <c r="D99" s="20" t="s">
        <v>122</v>
      </c>
      <c r="E99" s="20" t="s">
        <v>56</v>
      </c>
      <c r="F99" s="20" t="s">
        <v>116</v>
      </c>
      <c r="G99" s="20" t="s">
        <v>53</v>
      </c>
      <c r="H99" s="20" t="s">
        <v>68</v>
      </c>
      <c r="I99" s="20" t="s">
        <v>70</v>
      </c>
      <c r="J99" s="20" t="s">
        <v>95</v>
      </c>
      <c r="K99" s="18">
        <v>13</v>
      </c>
      <c r="L99" s="21">
        <v>1881</v>
      </c>
      <c r="M99" s="21">
        <v>24453</v>
      </c>
      <c r="N99" s="22">
        <v>5</v>
      </c>
      <c r="O99" s="21">
        <v>1223</v>
      </c>
      <c r="P99" s="21">
        <v>23230</v>
      </c>
      <c r="Q99" s="21">
        <v>12660</v>
      </c>
      <c r="R99" s="21">
        <v>10570</v>
      </c>
      <c r="S99" s="18">
        <v>2</v>
      </c>
      <c r="T99" s="21">
        <v>3574</v>
      </c>
      <c r="U99" s="23">
        <v>4.5999999999999996</v>
      </c>
    </row>
    <row r="100" spans="1:21" x14ac:dyDescent="0.35">
      <c r="A100" s="12" t="s">
        <v>213</v>
      </c>
      <c r="B100" s="12" t="str">
        <f t="shared" si="1"/>
        <v>March</v>
      </c>
      <c r="C100" s="13">
        <v>45008</v>
      </c>
      <c r="D100" s="14" t="s">
        <v>101</v>
      </c>
      <c r="E100" s="14" t="s">
        <v>58</v>
      </c>
      <c r="F100" s="14" t="s">
        <v>108</v>
      </c>
      <c r="G100" s="14" t="s">
        <v>49</v>
      </c>
      <c r="H100" s="14" t="s">
        <v>66</v>
      </c>
      <c r="I100" s="14" t="s">
        <v>67</v>
      </c>
      <c r="J100" s="14" t="s">
        <v>99</v>
      </c>
      <c r="K100" s="12">
        <v>2</v>
      </c>
      <c r="L100" s="15">
        <v>2047</v>
      </c>
      <c r="M100" s="15">
        <v>4094</v>
      </c>
      <c r="N100" s="16">
        <v>10</v>
      </c>
      <c r="O100" s="15">
        <v>409</v>
      </c>
      <c r="P100" s="15">
        <v>3685</v>
      </c>
      <c r="Q100" s="15">
        <v>1706</v>
      </c>
      <c r="R100" s="15">
        <v>1979</v>
      </c>
      <c r="S100" s="12">
        <v>1</v>
      </c>
      <c r="T100" s="15">
        <v>1842</v>
      </c>
      <c r="U100" s="17">
        <v>4.3</v>
      </c>
    </row>
    <row r="101" spans="1:21" x14ac:dyDescent="0.35">
      <c r="A101" s="18" t="s">
        <v>214</v>
      </c>
      <c r="B101" s="12" t="str">
        <f t="shared" si="1"/>
        <v>March</v>
      </c>
      <c r="C101" s="19">
        <v>45008</v>
      </c>
      <c r="D101" s="20" t="s">
        <v>122</v>
      </c>
      <c r="E101" s="20" t="s">
        <v>50</v>
      </c>
      <c r="F101" s="20" t="s">
        <v>102</v>
      </c>
      <c r="G101" s="20" t="s">
        <v>57</v>
      </c>
      <c r="H101" s="20" t="s">
        <v>68</v>
      </c>
      <c r="I101" s="20" t="s">
        <v>69</v>
      </c>
      <c r="J101" s="20" t="s">
        <v>99</v>
      </c>
      <c r="K101" s="18">
        <v>4</v>
      </c>
      <c r="L101" s="21">
        <v>4451</v>
      </c>
      <c r="M101" s="21">
        <v>17804</v>
      </c>
      <c r="N101" s="22">
        <v>25</v>
      </c>
      <c r="O101" s="21">
        <v>4451</v>
      </c>
      <c r="P101" s="21">
        <v>13353</v>
      </c>
      <c r="Q101" s="21">
        <v>7114</v>
      </c>
      <c r="R101" s="21">
        <v>6239</v>
      </c>
      <c r="S101" s="18">
        <v>1</v>
      </c>
      <c r="T101" s="21">
        <v>3338</v>
      </c>
      <c r="U101" s="23">
        <v>3</v>
      </c>
    </row>
    <row r="102" spans="1:21" x14ac:dyDescent="0.35">
      <c r="A102" s="12" t="s">
        <v>215</v>
      </c>
      <c r="B102" s="12" t="str">
        <f t="shared" si="1"/>
        <v>March</v>
      </c>
      <c r="C102" s="13">
        <v>45009</v>
      </c>
      <c r="D102" s="14" t="s">
        <v>93</v>
      </c>
      <c r="E102" s="14" t="s">
        <v>54</v>
      </c>
      <c r="F102" s="14" t="s">
        <v>108</v>
      </c>
      <c r="G102" s="14" t="s">
        <v>51</v>
      </c>
      <c r="H102" s="14" t="s">
        <v>64</v>
      </c>
      <c r="I102" s="14" t="s">
        <v>67</v>
      </c>
      <c r="J102" s="14" t="s">
        <v>95</v>
      </c>
      <c r="K102" s="12">
        <v>13</v>
      </c>
      <c r="L102" s="15">
        <v>2843</v>
      </c>
      <c r="M102" s="15">
        <v>36959</v>
      </c>
      <c r="N102" s="16">
        <v>25</v>
      </c>
      <c r="O102" s="15">
        <v>9240</v>
      </c>
      <c r="P102" s="15">
        <v>27719</v>
      </c>
      <c r="Q102" s="15">
        <v>18115</v>
      </c>
      <c r="R102" s="15">
        <v>9604</v>
      </c>
      <c r="S102" s="12">
        <v>0</v>
      </c>
      <c r="T102" s="15">
        <v>0</v>
      </c>
      <c r="U102" s="17">
        <v>4</v>
      </c>
    </row>
    <row r="103" spans="1:21" x14ac:dyDescent="0.35">
      <c r="A103" s="18" t="s">
        <v>216</v>
      </c>
      <c r="B103" s="12" t="str">
        <f t="shared" si="1"/>
        <v>March</v>
      </c>
      <c r="C103" s="19">
        <v>45011</v>
      </c>
      <c r="D103" s="20" t="s">
        <v>113</v>
      </c>
      <c r="E103" s="20" t="s">
        <v>54</v>
      </c>
      <c r="F103" s="20" t="s">
        <v>124</v>
      </c>
      <c r="G103" s="20" t="s">
        <v>53</v>
      </c>
      <c r="H103" s="20" t="s">
        <v>66</v>
      </c>
      <c r="I103" s="20" t="s">
        <v>67</v>
      </c>
      <c r="J103" s="20" t="s">
        <v>95</v>
      </c>
      <c r="K103" s="18">
        <v>8</v>
      </c>
      <c r="L103" s="21">
        <v>4825</v>
      </c>
      <c r="M103" s="21">
        <v>38600</v>
      </c>
      <c r="N103" s="22">
        <v>10</v>
      </c>
      <c r="O103" s="21">
        <v>3860</v>
      </c>
      <c r="P103" s="21">
        <v>34740</v>
      </c>
      <c r="Q103" s="21">
        <v>22183</v>
      </c>
      <c r="R103" s="21">
        <v>12557</v>
      </c>
      <c r="S103" s="18">
        <v>0</v>
      </c>
      <c r="T103" s="21">
        <v>0</v>
      </c>
      <c r="U103" s="23">
        <v>4.7</v>
      </c>
    </row>
    <row r="104" spans="1:21" x14ac:dyDescent="0.35">
      <c r="A104" s="12" t="s">
        <v>217</v>
      </c>
      <c r="B104" s="12" t="str">
        <f t="shared" si="1"/>
        <v>March</v>
      </c>
      <c r="C104" s="13">
        <v>45012</v>
      </c>
      <c r="D104" s="14" t="s">
        <v>122</v>
      </c>
      <c r="E104" s="14" t="s">
        <v>54</v>
      </c>
      <c r="F104" s="14" t="s">
        <v>111</v>
      </c>
      <c r="G104" s="14" t="s">
        <v>53</v>
      </c>
      <c r="H104" s="14" t="s">
        <v>66</v>
      </c>
      <c r="I104" s="14" t="s">
        <v>69</v>
      </c>
      <c r="J104" s="14" t="s">
        <v>95</v>
      </c>
      <c r="K104" s="12">
        <v>6</v>
      </c>
      <c r="L104" s="15">
        <v>4092</v>
      </c>
      <c r="M104" s="15">
        <v>24552</v>
      </c>
      <c r="N104" s="16">
        <v>20</v>
      </c>
      <c r="O104" s="15">
        <v>4910</v>
      </c>
      <c r="P104" s="15">
        <v>19642</v>
      </c>
      <c r="Q104" s="15">
        <v>11411</v>
      </c>
      <c r="R104" s="15">
        <v>8231</v>
      </c>
      <c r="S104" s="12">
        <v>1</v>
      </c>
      <c r="T104" s="15">
        <v>3274</v>
      </c>
      <c r="U104" s="17">
        <v>4.3</v>
      </c>
    </row>
    <row r="105" spans="1:21" x14ac:dyDescent="0.35">
      <c r="A105" s="18" t="s">
        <v>218</v>
      </c>
      <c r="B105" s="12" t="str">
        <f t="shared" si="1"/>
        <v>March</v>
      </c>
      <c r="C105" s="19">
        <v>45012</v>
      </c>
      <c r="D105" s="20" t="s">
        <v>131</v>
      </c>
      <c r="E105" s="20" t="s">
        <v>59</v>
      </c>
      <c r="F105" s="20" t="s">
        <v>151</v>
      </c>
      <c r="G105" s="20" t="s">
        <v>53</v>
      </c>
      <c r="H105" s="20" t="s">
        <v>68</v>
      </c>
      <c r="I105" s="20" t="s">
        <v>65</v>
      </c>
      <c r="J105" s="20" t="s">
        <v>103</v>
      </c>
      <c r="K105" s="18">
        <v>9</v>
      </c>
      <c r="L105" s="21">
        <v>3102</v>
      </c>
      <c r="M105" s="21">
        <v>27918</v>
      </c>
      <c r="N105" s="22">
        <v>25</v>
      </c>
      <c r="O105" s="21">
        <v>6980</v>
      </c>
      <c r="P105" s="21">
        <v>20938</v>
      </c>
      <c r="Q105" s="21">
        <v>11692</v>
      </c>
      <c r="R105" s="21">
        <v>9246</v>
      </c>
      <c r="S105" s="18">
        <v>2</v>
      </c>
      <c r="T105" s="21">
        <v>4653</v>
      </c>
      <c r="U105" s="23">
        <v>5</v>
      </c>
    </row>
    <row r="106" spans="1:21" x14ac:dyDescent="0.35">
      <c r="A106" s="12" t="s">
        <v>219</v>
      </c>
      <c r="B106" s="12" t="str">
        <f t="shared" si="1"/>
        <v>March</v>
      </c>
      <c r="C106" s="13">
        <v>45012</v>
      </c>
      <c r="D106" s="14" t="s">
        <v>131</v>
      </c>
      <c r="E106" s="14" t="s">
        <v>56</v>
      </c>
      <c r="F106" s="14" t="s">
        <v>94</v>
      </c>
      <c r="G106" s="14" t="s">
        <v>55</v>
      </c>
      <c r="H106" s="14" t="s">
        <v>66</v>
      </c>
      <c r="I106" s="14" t="s">
        <v>71</v>
      </c>
      <c r="J106" s="14" t="s">
        <v>103</v>
      </c>
      <c r="K106" s="12">
        <v>7</v>
      </c>
      <c r="L106" s="15">
        <v>4289</v>
      </c>
      <c r="M106" s="15">
        <v>30023</v>
      </c>
      <c r="N106" s="16">
        <v>5</v>
      </c>
      <c r="O106" s="15">
        <v>1501</v>
      </c>
      <c r="P106" s="15">
        <v>28522</v>
      </c>
      <c r="Q106" s="15">
        <v>13399</v>
      </c>
      <c r="R106" s="15">
        <v>15123</v>
      </c>
      <c r="S106" s="12">
        <v>1</v>
      </c>
      <c r="T106" s="15">
        <v>4075</v>
      </c>
      <c r="U106" s="17">
        <v>3.1</v>
      </c>
    </row>
    <row r="107" spans="1:21" x14ac:dyDescent="0.35">
      <c r="A107" s="18" t="s">
        <v>220</v>
      </c>
      <c r="B107" s="12" t="str">
        <f t="shared" si="1"/>
        <v>March</v>
      </c>
      <c r="C107" s="19">
        <v>45013</v>
      </c>
      <c r="D107" s="20" t="s">
        <v>131</v>
      </c>
      <c r="E107" s="20" t="s">
        <v>58</v>
      </c>
      <c r="F107" s="20" t="s">
        <v>124</v>
      </c>
      <c r="G107" s="20" t="s">
        <v>57</v>
      </c>
      <c r="H107" s="20" t="s">
        <v>66</v>
      </c>
      <c r="I107" s="20" t="s">
        <v>65</v>
      </c>
      <c r="J107" s="20" t="s">
        <v>103</v>
      </c>
      <c r="K107" s="18">
        <v>9</v>
      </c>
      <c r="L107" s="21">
        <v>831</v>
      </c>
      <c r="M107" s="21">
        <v>7479</v>
      </c>
      <c r="N107" s="22">
        <v>5</v>
      </c>
      <c r="O107" s="21">
        <v>374</v>
      </c>
      <c r="P107" s="21">
        <v>7105</v>
      </c>
      <c r="Q107" s="21">
        <v>3673</v>
      </c>
      <c r="R107" s="21">
        <v>3432</v>
      </c>
      <c r="S107" s="18">
        <v>2</v>
      </c>
      <c r="T107" s="21">
        <v>1579</v>
      </c>
      <c r="U107" s="23">
        <v>4.5999999999999996</v>
      </c>
    </row>
    <row r="108" spans="1:21" x14ac:dyDescent="0.35">
      <c r="A108" s="12" t="s">
        <v>221</v>
      </c>
      <c r="B108" s="12" t="str">
        <f t="shared" si="1"/>
        <v>March</v>
      </c>
      <c r="C108" s="13">
        <v>45016</v>
      </c>
      <c r="D108" s="14" t="s">
        <v>122</v>
      </c>
      <c r="E108" s="14" t="s">
        <v>50</v>
      </c>
      <c r="F108" s="14" t="s">
        <v>102</v>
      </c>
      <c r="G108" s="14" t="s">
        <v>49</v>
      </c>
      <c r="H108" s="14" t="s">
        <v>66</v>
      </c>
      <c r="I108" s="14" t="s">
        <v>69</v>
      </c>
      <c r="J108" s="14" t="s">
        <v>103</v>
      </c>
      <c r="K108" s="12">
        <v>5</v>
      </c>
      <c r="L108" s="15">
        <v>1897</v>
      </c>
      <c r="M108" s="15">
        <v>9485</v>
      </c>
      <c r="N108" s="16">
        <v>5</v>
      </c>
      <c r="O108" s="15">
        <v>474</v>
      </c>
      <c r="P108" s="15">
        <v>9011</v>
      </c>
      <c r="Q108" s="15">
        <v>5864</v>
      </c>
      <c r="R108" s="15">
        <v>3147</v>
      </c>
      <c r="S108" s="12">
        <v>1</v>
      </c>
      <c r="T108" s="15">
        <v>1802</v>
      </c>
      <c r="U108" s="17">
        <v>4.7</v>
      </c>
    </row>
    <row r="109" spans="1:21" x14ac:dyDescent="0.35">
      <c r="A109" s="18" t="s">
        <v>222</v>
      </c>
      <c r="B109" s="12" t="str">
        <f t="shared" si="1"/>
        <v>March</v>
      </c>
      <c r="C109" s="19">
        <v>45016</v>
      </c>
      <c r="D109" s="20" t="s">
        <v>142</v>
      </c>
      <c r="E109" s="20" t="s">
        <v>58</v>
      </c>
      <c r="F109" s="20" t="s">
        <v>108</v>
      </c>
      <c r="G109" s="20" t="s">
        <v>53</v>
      </c>
      <c r="H109" s="20" t="s">
        <v>68</v>
      </c>
      <c r="I109" s="20" t="s">
        <v>71</v>
      </c>
      <c r="J109" s="20" t="s">
        <v>99</v>
      </c>
      <c r="K109" s="18">
        <v>13</v>
      </c>
      <c r="L109" s="21">
        <v>3761</v>
      </c>
      <c r="M109" s="21">
        <v>48893</v>
      </c>
      <c r="N109" s="22">
        <v>5</v>
      </c>
      <c r="O109" s="21">
        <v>2445</v>
      </c>
      <c r="P109" s="21">
        <v>46448</v>
      </c>
      <c r="Q109" s="21">
        <v>25327</v>
      </c>
      <c r="R109" s="21">
        <v>21121</v>
      </c>
      <c r="S109" s="18">
        <v>2</v>
      </c>
      <c r="T109" s="21">
        <v>7146</v>
      </c>
      <c r="U109" s="23">
        <v>3.7</v>
      </c>
    </row>
    <row r="110" spans="1:21" x14ac:dyDescent="0.35">
      <c r="A110" s="12" t="s">
        <v>223</v>
      </c>
      <c r="B110" s="12" t="str">
        <f t="shared" si="1"/>
        <v>April</v>
      </c>
      <c r="C110" s="13">
        <v>45017</v>
      </c>
      <c r="D110" s="14" t="s">
        <v>122</v>
      </c>
      <c r="E110" s="14" t="s">
        <v>50</v>
      </c>
      <c r="F110" s="14" t="s">
        <v>94</v>
      </c>
      <c r="G110" s="14" t="s">
        <v>53</v>
      </c>
      <c r="H110" s="14" t="s">
        <v>66</v>
      </c>
      <c r="I110" s="14" t="s">
        <v>65</v>
      </c>
      <c r="J110" s="14" t="s">
        <v>103</v>
      </c>
      <c r="K110" s="12">
        <v>13</v>
      </c>
      <c r="L110" s="15">
        <v>1438</v>
      </c>
      <c r="M110" s="15">
        <v>18694</v>
      </c>
      <c r="N110" s="16">
        <v>30</v>
      </c>
      <c r="O110" s="15">
        <v>5608</v>
      </c>
      <c r="P110" s="15">
        <v>13086</v>
      </c>
      <c r="Q110" s="15">
        <v>6806</v>
      </c>
      <c r="R110" s="15">
        <v>6280</v>
      </c>
      <c r="S110" s="12">
        <v>3</v>
      </c>
      <c r="T110" s="15">
        <v>3020</v>
      </c>
      <c r="U110" s="17">
        <v>3.4</v>
      </c>
    </row>
    <row r="111" spans="1:21" x14ac:dyDescent="0.35">
      <c r="A111" s="18" t="s">
        <v>224</v>
      </c>
      <c r="B111" s="12" t="str">
        <f t="shared" si="1"/>
        <v>April</v>
      </c>
      <c r="C111" s="19">
        <v>45018</v>
      </c>
      <c r="D111" s="20" t="s">
        <v>122</v>
      </c>
      <c r="E111" s="20" t="s">
        <v>48</v>
      </c>
      <c r="F111" s="20" t="s">
        <v>108</v>
      </c>
      <c r="G111" s="20" t="s">
        <v>49</v>
      </c>
      <c r="H111" s="20" t="s">
        <v>64</v>
      </c>
      <c r="I111" s="20" t="s">
        <v>71</v>
      </c>
      <c r="J111" s="20" t="s">
        <v>99</v>
      </c>
      <c r="K111" s="18">
        <v>6</v>
      </c>
      <c r="L111" s="21">
        <v>3723</v>
      </c>
      <c r="M111" s="21">
        <v>22338</v>
      </c>
      <c r="N111" s="22">
        <v>25</v>
      </c>
      <c r="O111" s="21">
        <v>5584</v>
      </c>
      <c r="P111" s="21">
        <v>16754</v>
      </c>
      <c r="Q111" s="21">
        <v>9367</v>
      </c>
      <c r="R111" s="21">
        <v>7387</v>
      </c>
      <c r="S111" s="18">
        <v>0</v>
      </c>
      <c r="T111" s="21">
        <v>0</v>
      </c>
      <c r="U111" s="23">
        <v>3.5</v>
      </c>
    </row>
    <row r="112" spans="1:21" x14ac:dyDescent="0.35">
      <c r="A112" s="12" t="s">
        <v>225</v>
      </c>
      <c r="B112" s="12" t="str">
        <f t="shared" si="1"/>
        <v>April</v>
      </c>
      <c r="C112" s="13">
        <v>45018</v>
      </c>
      <c r="D112" s="14" t="s">
        <v>105</v>
      </c>
      <c r="E112" s="14" t="s">
        <v>58</v>
      </c>
      <c r="F112" s="14" t="s">
        <v>151</v>
      </c>
      <c r="G112" s="14" t="s">
        <v>57</v>
      </c>
      <c r="H112" s="14" t="s">
        <v>66</v>
      </c>
      <c r="I112" s="14" t="s">
        <v>65</v>
      </c>
      <c r="J112" s="14" t="s">
        <v>95</v>
      </c>
      <c r="K112" s="12">
        <v>6</v>
      </c>
      <c r="L112" s="15">
        <v>1466</v>
      </c>
      <c r="M112" s="15">
        <v>8796</v>
      </c>
      <c r="N112" s="16">
        <v>25</v>
      </c>
      <c r="O112" s="15">
        <v>2199</v>
      </c>
      <c r="P112" s="15">
        <v>6597</v>
      </c>
      <c r="Q112" s="15">
        <v>3416</v>
      </c>
      <c r="R112" s="15">
        <v>3181</v>
      </c>
      <c r="S112" s="12">
        <v>0</v>
      </c>
      <c r="T112" s="15">
        <v>0</v>
      </c>
      <c r="U112" s="17">
        <v>3.9</v>
      </c>
    </row>
    <row r="113" spans="1:21" x14ac:dyDescent="0.35">
      <c r="A113" s="18" t="s">
        <v>226</v>
      </c>
      <c r="B113" s="12" t="str">
        <f t="shared" si="1"/>
        <v>April</v>
      </c>
      <c r="C113" s="19">
        <v>45018</v>
      </c>
      <c r="D113" s="20" t="s">
        <v>120</v>
      </c>
      <c r="E113" s="20" t="s">
        <v>58</v>
      </c>
      <c r="F113" s="20" t="s">
        <v>108</v>
      </c>
      <c r="G113" s="20" t="s">
        <v>57</v>
      </c>
      <c r="H113" s="20" t="s">
        <v>64</v>
      </c>
      <c r="I113" s="20" t="s">
        <v>71</v>
      </c>
      <c r="J113" s="20" t="s">
        <v>95</v>
      </c>
      <c r="K113" s="18">
        <v>15</v>
      </c>
      <c r="L113" s="21">
        <v>1515</v>
      </c>
      <c r="M113" s="21">
        <v>22725</v>
      </c>
      <c r="N113" s="22">
        <v>30</v>
      </c>
      <c r="O113" s="21">
        <v>6818</v>
      </c>
      <c r="P113" s="21">
        <v>15907</v>
      </c>
      <c r="Q113" s="21">
        <v>8952</v>
      </c>
      <c r="R113" s="21">
        <v>6955</v>
      </c>
      <c r="S113" s="18">
        <v>3</v>
      </c>
      <c r="T113" s="21">
        <v>3182</v>
      </c>
      <c r="U113" s="23">
        <v>3.6</v>
      </c>
    </row>
    <row r="114" spans="1:21" x14ac:dyDescent="0.35">
      <c r="A114" s="12" t="s">
        <v>227</v>
      </c>
      <c r="B114" s="12" t="str">
        <f t="shared" si="1"/>
        <v>April</v>
      </c>
      <c r="C114" s="13">
        <v>45018</v>
      </c>
      <c r="D114" s="14" t="s">
        <v>101</v>
      </c>
      <c r="E114" s="14" t="s">
        <v>58</v>
      </c>
      <c r="F114" s="14" t="s">
        <v>151</v>
      </c>
      <c r="G114" s="14" t="s">
        <v>51</v>
      </c>
      <c r="H114" s="14" t="s">
        <v>64</v>
      </c>
      <c r="I114" s="14" t="s">
        <v>65</v>
      </c>
      <c r="J114" s="14" t="s">
        <v>95</v>
      </c>
      <c r="K114" s="12">
        <v>2</v>
      </c>
      <c r="L114" s="15">
        <v>449</v>
      </c>
      <c r="M114" s="15">
        <v>898</v>
      </c>
      <c r="N114" s="16">
        <v>30</v>
      </c>
      <c r="O114" s="15">
        <v>269</v>
      </c>
      <c r="P114" s="15">
        <v>629</v>
      </c>
      <c r="Q114" s="15">
        <v>387</v>
      </c>
      <c r="R114" s="15">
        <v>242</v>
      </c>
      <c r="S114" s="12">
        <v>1</v>
      </c>
      <c r="T114" s="15">
        <v>314</v>
      </c>
      <c r="U114" s="17">
        <v>2.6</v>
      </c>
    </row>
    <row r="115" spans="1:21" x14ac:dyDescent="0.35">
      <c r="A115" s="18" t="s">
        <v>228</v>
      </c>
      <c r="B115" s="12" t="str">
        <f t="shared" si="1"/>
        <v>April</v>
      </c>
      <c r="C115" s="19">
        <v>45018</v>
      </c>
      <c r="D115" s="20" t="s">
        <v>105</v>
      </c>
      <c r="E115" s="20" t="s">
        <v>52</v>
      </c>
      <c r="F115" s="20" t="s">
        <v>108</v>
      </c>
      <c r="G115" s="20" t="s">
        <v>57</v>
      </c>
      <c r="H115" s="20" t="s">
        <v>66</v>
      </c>
      <c r="I115" s="20" t="s">
        <v>71</v>
      </c>
      <c r="J115" s="20" t="s">
        <v>103</v>
      </c>
      <c r="K115" s="18">
        <v>13</v>
      </c>
      <c r="L115" s="21">
        <v>2941</v>
      </c>
      <c r="M115" s="21">
        <v>38233</v>
      </c>
      <c r="N115" s="22">
        <v>40</v>
      </c>
      <c r="O115" s="21">
        <v>15293</v>
      </c>
      <c r="P115" s="21">
        <v>22940</v>
      </c>
      <c r="Q115" s="21">
        <v>14620</v>
      </c>
      <c r="R115" s="21">
        <v>8320</v>
      </c>
      <c r="S115" s="18">
        <v>2</v>
      </c>
      <c r="T115" s="21">
        <v>3529</v>
      </c>
      <c r="U115" s="23">
        <v>4.8</v>
      </c>
    </row>
    <row r="116" spans="1:21" x14ac:dyDescent="0.35">
      <c r="A116" s="12" t="s">
        <v>229</v>
      </c>
      <c r="B116" s="12" t="str">
        <f t="shared" si="1"/>
        <v>April</v>
      </c>
      <c r="C116" s="13">
        <v>45018</v>
      </c>
      <c r="D116" s="14" t="s">
        <v>97</v>
      </c>
      <c r="E116" s="14" t="s">
        <v>56</v>
      </c>
      <c r="F116" s="14" t="s">
        <v>134</v>
      </c>
      <c r="G116" s="14" t="s">
        <v>57</v>
      </c>
      <c r="H116" s="14" t="s">
        <v>66</v>
      </c>
      <c r="I116" s="14" t="s">
        <v>65</v>
      </c>
      <c r="J116" s="14" t="s">
        <v>103</v>
      </c>
      <c r="K116" s="12">
        <v>6</v>
      </c>
      <c r="L116" s="15">
        <v>1767</v>
      </c>
      <c r="M116" s="15">
        <v>10602</v>
      </c>
      <c r="N116" s="16">
        <v>15</v>
      </c>
      <c r="O116" s="15">
        <v>1590</v>
      </c>
      <c r="P116" s="15">
        <v>9012</v>
      </c>
      <c r="Q116" s="15">
        <v>5662</v>
      </c>
      <c r="R116" s="15">
        <v>3350</v>
      </c>
      <c r="S116" s="12">
        <v>0</v>
      </c>
      <c r="T116" s="15">
        <v>0</v>
      </c>
      <c r="U116" s="17">
        <v>4.9000000000000004</v>
      </c>
    </row>
    <row r="117" spans="1:21" x14ac:dyDescent="0.35">
      <c r="A117" s="18" t="s">
        <v>230</v>
      </c>
      <c r="B117" s="12" t="str">
        <f t="shared" si="1"/>
        <v>April</v>
      </c>
      <c r="C117" s="19">
        <v>45021</v>
      </c>
      <c r="D117" s="20" t="s">
        <v>113</v>
      </c>
      <c r="E117" s="20" t="s">
        <v>58</v>
      </c>
      <c r="F117" s="20" t="s">
        <v>116</v>
      </c>
      <c r="G117" s="20" t="s">
        <v>55</v>
      </c>
      <c r="H117" s="20" t="s">
        <v>68</v>
      </c>
      <c r="I117" s="20" t="s">
        <v>70</v>
      </c>
      <c r="J117" s="20" t="s">
        <v>95</v>
      </c>
      <c r="K117" s="18">
        <v>4</v>
      </c>
      <c r="L117" s="21">
        <v>1362</v>
      </c>
      <c r="M117" s="21">
        <v>5448</v>
      </c>
      <c r="N117" s="22">
        <v>30</v>
      </c>
      <c r="O117" s="21">
        <v>1634</v>
      </c>
      <c r="P117" s="21">
        <v>3814</v>
      </c>
      <c r="Q117" s="21">
        <v>2445</v>
      </c>
      <c r="R117" s="21">
        <v>1369</v>
      </c>
      <c r="S117" s="18">
        <v>0</v>
      </c>
      <c r="T117" s="21">
        <v>0</v>
      </c>
      <c r="U117" s="23">
        <v>4.8</v>
      </c>
    </row>
    <row r="118" spans="1:21" x14ac:dyDescent="0.35">
      <c r="A118" s="12" t="s">
        <v>231</v>
      </c>
      <c r="B118" s="12" t="str">
        <f t="shared" si="1"/>
        <v>April</v>
      </c>
      <c r="C118" s="13">
        <v>45021</v>
      </c>
      <c r="D118" s="14" t="s">
        <v>131</v>
      </c>
      <c r="E118" s="14" t="s">
        <v>59</v>
      </c>
      <c r="F118" s="14" t="s">
        <v>111</v>
      </c>
      <c r="G118" s="14" t="s">
        <v>53</v>
      </c>
      <c r="H118" s="14" t="s">
        <v>68</v>
      </c>
      <c r="I118" s="14" t="s">
        <v>65</v>
      </c>
      <c r="J118" s="14" t="s">
        <v>103</v>
      </c>
      <c r="K118" s="12">
        <v>15</v>
      </c>
      <c r="L118" s="15">
        <v>655</v>
      </c>
      <c r="M118" s="15">
        <v>9825</v>
      </c>
      <c r="N118" s="16">
        <v>40</v>
      </c>
      <c r="O118" s="15">
        <v>3930</v>
      </c>
      <c r="P118" s="15">
        <v>5895</v>
      </c>
      <c r="Q118" s="15">
        <v>4013</v>
      </c>
      <c r="R118" s="15">
        <v>1882</v>
      </c>
      <c r="S118" s="12">
        <v>2</v>
      </c>
      <c r="T118" s="15">
        <v>786</v>
      </c>
      <c r="U118" s="17">
        <v>4.4000000000000004</v>
      </c>
    </row>
    <row r="119" spans="1:21" x14ac:dyDescent="0.35">
      <c r="A119" s="18" t="s">
        <v>232</v>
      </c>
      <c r="B119" s="12" t="str">
        <f t="shared" si="1"/>
        <v>April</v>
      </c>
      <c r="C119" s="19">
        <v>45023</v>
      </c>
      <c r="D119" s="20" t="s">
        <v>142</v>
      </c>
      <c r="E119" s="20" t="s">
        <v>56</v>
      </c>
      <c r="F119" s="20" t="s">
        <v>106</v>
      </c>
      <c r="G119" s="20" t="s">
        <v>57</v>
      </c>
      <c r="H119" s="20" t="s">
        <v>68</v>
      </c>
      <c r="I119" s="20" t="s">
        <v>70</v>
      </c>
      <c r="J119" s="20" t="s">
        <v>99</v>
      </c>
      <c r="K119" s="18">
        <v>1</v>
      </c>
      <c r="L119" s="21">
        <v>1794</v>
      </c>
      <c r="M119" s="21">
        <v>1794</v>
      </c>
      <c r="N119" s="22">
        <v>40</v>
      </c>
      <c r="O119" s="21">
        <v>718</v>
      </c>
      <c r="P119" s="21">
        <v>1076</v>
      </c>
      <c r="Q119" s="21">
        <v>674</v>
      </c>
      <c r="R119" s="21">
        <v>402</v>
      </c>
      <c r="S119" s="18">
        <v>1</v>
      </c>
      <c r="T119" s="21">
        <v>1076</v>
      </c>
      <c r="U119" s="23">
        <v>3.5</v>
      </c>
    </row>
    <row r="120" spans="1:21" x14ac:dyDescent="0.35">
      <c r="A120" s="12" t="s">
        <v>233</v>
      </c>
      <c r="B120" s="12" t="str">
        <f t="shared" si="1"/>
        <v>April</v>
      </c>
      <c r="C120" s="13">
        <v>45023</v>
      </c>
      <c r="D120" s="14" t="s">
        <v>93</v>
      </c>
      <c r="E120" s="14" t="s">
        <v>50</v>
      </c>
      <c r="F120" s="14" t="s">
        <v>106</v>
      </c>
      <c r="G120" s="14" t="s">
        <v>55</v>
      </c>
      <c r="H120" s="14" t="s">
        <v>66</v>
      </c>
      <c r="I120" s="14" t="s">
        <v>65</v>
      </c>
      <c r="J120" s="14" t="s">
        <v>103</v>
      </c>
      <c r="K120" s="12">
        <v>14</v>
      </c>
      <c r="L120" s="15">
        <v>2056</v>
      </c>
      <c r="M120" s="15">
        <v>28784</v>
      </c>
      <c r="N120" s="16">
        <v>0</v>
      </c>
      <c r="O120" s="15">
        <v>0</v>
      </c>
      <c r="P120" s="15">
        <v>28784</v>
      </c>
      <c r="Q120" s="15">
        <v>16661</v>
      </c>
      <c r="R120" s="15">
        <v>12123</v>
      </c>
      <c r="S120" s="12">
        <v>1</v>
      </c>
      <c r="T120" s="15">
        <v>2056</v>
      </c>
      <c r="U120" s="17">
        <v>2.7</v>
      </c>
    </row>
    <row r="121" spans="1:21" x14ac:dyDescent="0.35">
      <c r="A121" s="18" t="s">
        <v>234</v>
      </c>
      <c r="B121" s="12" t="str">
        <f t="shared" si="1"/>
        <v>April</v>
      </c>
      <c r="C121" s="19">
        <v>45024</v>
      </c>
      <c r="D121" s="20" t="s">
        <v>131</v>
      </c>
      <c r="E121" s="20" t="s">
        <v>54</v>
      </c>
      <c r="F121" s="20" t="s">
        <v>151</v>
      </c>
      <c r="G121" s="20" t="s">
        <v>55</v>
      </c>
      <c r="H121" s="20" t="s">
        <v>64</v>
      </c>
      <c r="I121" s="20" t="s">
        <v>71</v>
      </c>
      <c r="J121" s="20" t="s">
        <v>103</v>
      </c>
      <c r="K121" s="18">
        <v>11</v>
      </c>
      <c r="L121" s="21">
        <v>3680</v>
      </c>
      <c r="M121" s="21">
        <v>40480</v>
      </c>
      <c r="N121" s="22">
        <v>15</v>
      </c>
      <c r="O121" s="21">
        <v>6072</v>
      </c>
      <c r="P121" s="21">
        <v>34408</v>
      </c>
      <c r="Q121" s="21">
        <v>18617</v>
      </c>
      <c r="R121" s="21">
        <v>15791</v>
      </c>
      <c r="S121" s="18">
        <v>0</v>
      </c>
      <c r="T121" s="21">
        <v>0</v>
      </c>
      <c r="U121" s="23">
        <v>4.9000000000000004</v>
      </c>
    </row>
    <row r="122" spans="1:21" x14ac:dyDescent="0.35">
      <c r="A122" s="12" t="s">
        <v>235</v>
      </c>
      <c r="B122" s="12" t="str">
        <f t="shared" si="1"/>
        <v>April</v>
      </c>
      <c r="C122" s="13">
        <v>45025</v>
      </c>
      <c r="D122" s="14" t="s">
        <v>122</v>
      </c>
      <c r="E122" s="14" t="s">
        <v>52</v>
      </c>
      <c r="F122" s="14" t="s">
        <v>111</v>
      </c>
      <c r="G122" s="14" t="s">
        <v>51</v>
      </c>
      <c r="H122" s="14" t="s">
        <v>64</v>
      </c>
      <c r="I122" s="14" t="s">
        <v>67</v>
      </c>
      <c r="J122" s="14" t="s">
        <v>95</v>
      </c>
      <c r="K122" s="12">
        <v>9</v>
      </c>
      <c r="L122" s="15">
        <v>3922</v>
      </c>
      <c r="M122" s="15">
        <v>35298</v>
      </c>
      <c r="N122" s="16">
        <v>50</v>
      </c>
      <c r="O122" s="15">
        <v>17649</v>
      </c>
      <c r="P122" s="15">
        <v>17649</v>
      </c>
      <c r="Q122" s="15">
        <v>8109</v>
      </c>
      <c r="R122" s="15">
        <v>9540</v>
      </c>
      <c r="S122" s="12">
        <v>1</v>
      </c>
      <c r="T122" s="15">
        <v>1961</v>
      </c>
      <c r="U122" s="17">
        <v>4.7</v>
      </c>
    </row>
    <row r="123" spans="1:21" x14ac:dyDescent="0.35">
      <c r="A123" s="18" t="s">
        <v>236</v>
      </c>
      <c r="B123" s="12" t="str">
        <f t="shared" si="1"/>
        <v>April</v>
      </c>
      <c r="C123" s="19">
        <v>45026</v>
      </c>
      <c r="D123" s="20" t="s">
        <v>93</v>
      </c>
      <c r="E123" s="20" t="s">
        <v>56</v>
      </c>
      <c r="F123" s="20" t="s">
        <v>116</v>
      </c>
      <c r="G123" s="20" t="s">
        <v>55</v>
      </c>
      <c r="H123" s="20" t="s">
        <v>68</v>
      </c>
      <c r="I123" s="20" t="s">
        <v>70</v>
      </c>
      <c r="J123" s="20" t="s">
        <v>95</v>
      </c>
      <c r="K123" s="18">
        <v>11</v>
      </c>
      <c r="L123" s="21">
        <v>3531</v>
      </c>
      <c r="M123" s="21">
        <v>38841</v>
      </c>
      <c r="N123" s="22">
        <v>5</v>
      </c>
      <c r="O123" s="21">
        <v>1942</v>
      </c>
      <c r="P123" s="21">
        <v>36899</v>
      </c>
      <c r="Q123" s="21">
        <v>23785</v>
      </c>
      <c r="R123" s="21">
        <v>13114</v>
      </c>
      <c r="S123" s="18">
        <v>0</v>
      </c>
      <c r="T123" s="21">
        <v>0</v>
      </c>
      <c r="U123" s="23">
        <v>2.9</v>
      </c>
    </row>
    <row r="124" spans="1:21" x14ac:dyDescent="0.35">
      <c r="A124" s="12" t="s">
        <v>237</v>
      </c>
      <c r="B124" s="12" t="str">
        <f t="shared" si="1"/>
        <v>April</v>
      </c>
      <c r="C124" s="13">
        <v>45026</v>
      </c>
      <c r="D124" s="14" t="s">
        <v>105</v>
      </c>
      <c r="E124" s="14" t="s">
        <v>54</v>
      </c>
      <c r="F124" s="14" t="s">
        <v>102</v>
      </c>
      <c r="G124" s="14" t="s">
        <v>53</v>
      </c>
      <c r="H124" s="14" t="s">
        <v>64</v>
      </c>
      <c r="I124" s="14" t="s">
        <v>65</v>
      </c>
      <c r="J124" s="14" t="s">
        <v>103</v>
      </c>
      <c r="K124" s="12">
        <v>8</v>
      </c>
      <c r="L124" s="15">
        <v>3892</v>
      </c>
      <c r="M124" s="15">
        <v>31136</v>
      </c>
      <c r="N124" s="16">
        <v>20</v>
      </c>
      <c r="O124" s="15">
        <v>6227</v>
      </c>
      <c r="P124" s="15">
        <v>24909</v>
      </c>
      <c r="Q124" s="15">
        <v>16348</v>
      </c>
      <c r="R124" s="15">
        <v>8561</v>
      </c>
      <c r="S124" s="12">
        <v>2</v>
      </c>
      <c r="T124" s="15">
        <v>6227</v>
      </c>
      <c r="U124" s="17">
        <v>4.2</v>
      </c>
    </row>
    <row r="125" spans="1:21" x14ac:dyDescent="0.35">
      <c r="A125" s="18" t="s">
        <v>238</v>
      </c>
      <c r="B125" s="12" t="str">
        <f t="shared" si="1"/>
        <v>April</v>
      </c>
      <c r="C125" s="19">
        <v>45026</v>
      </c>
      <c r="D125" s="20" t="s">
        <v>122</v>
      </c>
      <c r="E125" s="20" t="s">
        <v>59</v>
      </c>
      <c r="F125" s="20" t="s">
        <v>111</v>
      </c>
      <c r="G125" s="20" t="s">
        <v>57</v>
      </c>
      <c r="H125" s="20" t="s">
        <v>64</v>
      </c>
      <c r="I125" s="20" t="s">
        <v>71</v>
      </c>
      <c r="J125" s="20" t="s">
        <v>99</v>
      </c>
      <c r="K125" s="18">
        <v>11</v>
      </c>
      <c r="L125" s="21">
        <v>2882</v>
      </c>
      <c r="M125" s="21">
        <v>31702</v>
      </c>
      <c r="N125" s="22">
        <v>20</v>
      </c>
      <c r="O125" s="21">
        <v>6340</v>
      </c>
      <c r="P125" s="21">
        <v>25362</v>
      </c>
      <c r="Q125" s="21">
        <v>15672</v>
      </c>
      <c r="R125" s="21">
        <v>9690</v>
      </c>
      <c r="S125" s="18">
        <v>1</v>
      </c>
      <c r="T125" s="21">
        <v>2306</v>
      </c>
      <c r="U125" s="23">
        <v>2.7</v>
      </c>
    </row>
    <row r="126" spans="1:21" x14ac:dyDescent="0.35">
      <c r="A126" s="12" t="s">
        <v>239</v>
      </c>
      <c r="B126" s="12" t="str">
        <f t="shared" si="1"/>
        <v>April</v>
      </c>
      <c r="C126" s="13">
        <v>45027</v>
      </c>
      <c r="D126" s="14" t="s">
        <v>122</v>
      </c>
      <c r="E126" s="14" t="s">
        <v>56</v>
      </c>
      <c r="F126" s="14" t="s">
        <v>102</v>
      </c>
      <c r="G126" s="14" t="s">
        <v>53</v>
      </c>
      <c r="H126" s="14" t="s">
        <v>64</v>
      </c>
      <c r="I126" s="14" t="s">
        <v>67</v>
      </c>
      <c r="J126" s="14" t="s">
        <v>103</v>
      </c>
      <c r="K126" s="12">
        <v>9</v>
      </c>
      <c r="L126" s="15">
        <v>738</v>
      </c>
      <c r="M126" s="15">
        <v>6642</v>
      </c>
      <c r="N126" s="16">
        <v>10</v>
      </c>
      <c r="O126" s="15">
        <v>664</v>
      </c>
      <c r="P126" s="15">
        <v>5978</v>
      </c>
      <c r="Q126" s="15">
        <v>3575</v>
      </c>
      <c r="R126" s="15">
        <v>2403</v>
      </c>
      <c r="S126" s="12">
        <v>2</v>
      </c>
      <c r="T126" s="15">
        <v>1328</v>
      </c>
      <c r="U126" s="17">
        <v>2.9</v>
      </c>
    </row>
    <row r="127" spans="1:21" x14ac:dyDescent="0.35">
      <c r="A127" s="18" t="s">
        <v>240</v>
      </c>
      <c r="B127" s="12" t="str">
        <f t="shared" si="1"/>
        <v>April</v>
      </c>
      <c r="C127" s="19">
        <v>45028</v>
      </c>
      <c r="D127" s="20" t="s">
        <v>120</v>
      </c>
      <c r="E127" s="20" t="s">
        <v>50</v>
      </c>
      <c r="F127" s="20" t="s">
        <v>98</v>
      </c>
      <c r="G127" s="20" t="s">
        <v>57</v>
      </c>
      <c r="H127" s="20" t="s">
        <v>66</v>
      </c>
      <c r="I127" s="20" t="s">
        <v>70</v>
      </c>
      <c r="J127" s="20" t="s">
        <v>99</v>
      </c>
      <c r="K127" s="18">
        <v>7</v>
      </c>
      <c r="L127" s="21">
        <v>3502</v>
      </c>
      <c r="M127" s="21">
        <v>24514</v>
      </c>
      <c r="N127" s="22">
        <v>20</v>
      </c>
      <c r="O127" s="21">
        <v>4903</v>
      </c>
      <c r="P127" s="21">
        <v>19611</v>
      </c>
      <c r="Q127" s="21">
        <v>13415</v>
      </c>
      <c r="R127" s="21">
        <v>6196</v>
      </c>
      <c r="S127" s="18">
        <v>0</v>
      </c>
      <c r="T127" s="21">
        <v>0</v>
      </c>
      <c r="U127" s="23">
        <v>4.0999999999999996</v>
      </c>
    </row>
    <row r="128" spans="1:21" x14ac:dyDescent="0.35">
      <c r="A128" s="12" t="s">
        <v>241</v>
      </c>
      <c r="B128" s="12" t="str">
        <f t="shared" si="1"/>
        <v>April</v>
      </c>
      <c r="C128" s="13">
        <v>45029</v>
      </c>
      <c r="D128" s="14" t="s">
        <v>105</v>
      </c>
      <c r="E128" s="14" t="s">
        <v>48</v>
      </c>
      <c r="F128" s="14" t="s">
        <v>102</v>
      </c>
      <c r="G128" s="14" t="s">
        <v>51</v>
      </c>
      <c r="H128" s="14" t="s">
        <v>66</v>
      </c>
      <c r="I128" s="14" t="s">
        <v>71</v>
      </c>
      <c r="J128" s="14" t="s">
        <v>95</v>
      </c>
      <c r="K128" s="12">
        <v>12</v>
      </c>
      <c r="L128" s="15">
        <v>2469</v>
      </c>
      <c r="M128" s="15">
        <v>29628</v>
      </c>
      <c r="N128" s="16">
        <v>15</v>
      </c>
      <c r="O128" s="15">
        <v>4444</v>
      </c>
      <c r="P128" s="15">
        <v>25184</v>
      </c>
      <c r="Q128" s="15">
        <v>14093</v>
      </c>
      <c r="R128" s="15">
        <v>11091</v>
      </c>
      <c r="S128" s="12">
        <v>2</v>
      </c>
      <c r="T128" s="15">
        <v>4197</v>
      </c>
      <c r="U128" s="17">
        <v>4.5999999999999996</v>
      </c>
    </row>
    <row r="129" spans="1:21" x14ac:dyDescent="0.35">
      <c r="A129" s="18" t="s">
        <v>242</v>
      </c>
      <c r="B129" s="12" t="str">
        <f t="shared" si="1"/>
        <v>April</v>
      </c>
      <c r="C129" s="19">
        <v>45032</v>
      </c>
      <c r="D129" s="20" t="s">
        <v>131</v>
      </c>
      <c r="E129" s="20" t="s">
        <v>54</v>
      </c>
      <c r="F129" s="20" t="s">
        <v>98</v>
      </c>
      <c r="G129" s="20" t="s">
        <v>57</v>
      </c>
      <c r="H129" s="20" t="s">
        <v>64</v>
      </c>
      <c r="I129" s="20" t="s">
        <v>71</v>
      </c>
      <c r="J129" s="20" t="s">
        <v>95</v>
      </c>
      <c r="K129" s="18">
        <v>6</v>
      </c>
      <c r="L129" s="21">
        <v>1831</v>
      </c>
      <c r="M129" s="21">
        <v>10986</v>
      </c>
      <c r="N129" s="22">
        <v>40</v>
      </c>
      <c r="O129" s="21">
        <v>4394</v>
      </c>
      <c r="P129" s="21">
        <v>6592</v>
      </c>
      <c r="Q129" s="21">
        <v>3154</v>
      </c>
      <c r="R129" s="21">
        <v>3438</v>
      </c>
      <c r="S129" s="18">
        <v>1</v>
      </c>
      <c r="T129" s="21">
        <v>1099</v>
      </c>
      <c r="U129" s="23">
        <v>3.8</v>
      </c>
    </row>
    <row r="130" spans="1:21" x14ac:dyDescent="0.35">
      <c r="A130" s="12" t="s">
        <v>243</v>
      </c>
      <c r="B130" s="12" t="str">
        <f t="shared" ref="B130:B193" si="2">TEXT(C130,"MMMM")</f>
        <v>April</v>
      </c>
      <c r="C130" s="13">
        <v>45032</v>
      </c>
      <c r="D130" s="14" t="s">
        <v>93</v>
      </c>
      <c r="E130" s="14" t="s">
        <v>56</v>
      </c>
      <c r="F130" s="14" t="s">
        <v>94</v>
      </c>
      <c r="G130" s="14" t="s">
        <v>53</v>
      </c>
      <c r="H130" s="14" t="s">
        <v>66</v>
      </c>
      <c r="I130" s="14" t="s">
        <v>67</v>
      </c>
      <c r="J130" s="14" t="s">
        <v>99</v>
      </c>
      <c r="K130" s="12">
        <v>12</v>
      </c>
      <c r="L130" s="15">
        <v>4917</v>
      </c>
      <c r="M130" s="15">
        <v>59004</v>
      </c>
      <c r="N130" s="16">
        <v>25</v>
      </c>
      <c r="O130" s="15">
        <v>14751</v>
      </c>
      <c r="P130" s="15">
        <v>44253</v>
      </c>
      <c r="Q130" s="15">
        <v>30870</v>
      </c>
      <c r="R130" s="15">
        <v>13383</v>
      </c>
      <c r="S130" s="12">
        <v>0</v>
      </c>
      <c r="T130" s="15">
        <v>0</v>
      </c>
      <c r="U130" s="17">
        <v>4</v>
      </c>
    </row>
    <row r="131" spans="1:21" x14ac:dyDescent="0.35">
      <c r="A131" s="18" t="s">
        <v>244</v>
      </c>
      <c r="B131" s="12" t="str">
        <f t="shared" si="2"/>
        <v>April</v>
      </c>
      <c r="C131" s="19">
        <v>45033</v>
      </c>
      <c r="D131" s="20" t="s">
        <v>122</v>
      </c>
      <c r="E131" s="20" t="s">
        <v>56</v>
      </c>
      <c r="F131" s="20" t="s">
        <v>106</v>
      </c>
      <c r="G131" s="20" t="s">
        <v>53</v>
      </c>
      <c r="H131" s="20" t="s">
        <v>66</v>
      </c>
      <c r="I131" s="20" t="s">
        <v>69</v>
      </c>
      <c r="J131" s="20" t="s">
        <v>95</v>
      </c>
      <c r="K131" s="18">
        <v>4</v>
      </c>
      <c r="L131" s="21">
        <v>1116</v>
      </c>
      <c r="M131" s="21">
        <v>4464</v>
      </c>
      <c r="N131" s="22">
        <v>5</v>
      </c>
      <c r="O131" s="21">
        <v>223</v>
      </c>
      <c r="P131" s="21">
        <v>4241</v>
      </c>
      <c r="Q131" s="21">
        <v>2074</v>
      </c>
      <c r="R131" s="21">
        <v>2167</v>
      </c>
      <c r="S131" s="18">
        <v>1</v>
      </c>
      <c r="T131" s="21">
        <v>1060</v>
      </c>
      <c r="U131" s="23">
        <v>3.6</v>
      </c>
    </row>
    <row r="132" spans="1:21" x14ac:dyDescent="0.35">
      <c r="A132" s="12" t="s">
        <v>245</v>
      </c>
      <c r="B132" s="12" t="str">
        <f t="shared" si="2"/>
        <v>April</v>
      </c>
      <c r="C132" s="13">
        <v>45033</v>
      </c>
      <c r="D132" s="14" t="s">
        <v>113</v>
      </c>
      <c r="E132" s="14" t="s">
        <v>59</v>
      </c>
      <c r="F132" s="14" t="s">
        <v>111</v>
      </c>
      <c r="G132" s="14" t="s">
        <v>51</v>
      </c>
      <c r="H132" s="14" t="s">
        <v>64</v>
      </c>
      <c r="I132" s="14" t="s">
        <v>67</v>
      </c>
      <c r="J132" s="14" t="s">
        <v>95</v>
      </c>
      <c r="K132" s="12">
        <v>3</v>
      </c>
      <c r="L132" s="15">
        <v>4312</v>
      </c>
      <c r="M132" s="15">
        <v>12936</v>
      </c>
      <c r="N132" s="16">
        <v>20</v>
      </c>
      <c r="O132" s="15">
        <v>2587</v>
      </c>
      <c r="P132" s="15">
        <v>10349</v>
      </c>
      <c r="Q132" s="15">
        <v>5514</v>
      </c>
      <c r="R132" s="15">
        <v>4835</v>
      </c>
      <c r="S132" s="12">
        <v>0</v>
      </c>
      <c r="T132" s="15">
        <v>0</v>
      </c>
      <c r="U132" s="17">
        <v>2.6</v>
      </c>
    </row>
    <row r="133" spans="1:21" x14ac:dyDescent="0.35">
      <c r="A133" s="18" t="s">
        <v>246</v>
      </c>
      <c r="B133" s="12" t="str">
        <f t="shared" si="2"/>
        <v>April</v>
      </c>
      <c r="C133" s="19">
        <v>45033</v>
      </c>
      <c r="D133" s="20" t="s">
        <v>115</v>
      </c>
      <c r="E133" s="20" t="s">
        <v>58</v>
      </c>
      <c r="F133" s="20" t="s">
        <v>134</v>
      </c>
      <c r="G133" s="20" t="s">
        <v>55</v>
      </c>
      <c r="H133" s="20" t="s">
        <v>68</v>
      </c>
      <c r="I133" s="20" t="s">
        <v>69</v>
      </c>
      <c r="J133" s="20" t="s">
        <v>99</v>
      </c>
      <c r="K133" s="18">
        <v>6</v>
      </c>
      <c r="L133" s="21">
        <v>2933</v>
      </c>
      <c r="M133" s="21">
        <v>17598</v>
      </c>
      <c r="N133" s="22">
        <v>15</v>
      </c>
      <c r="O133" s="21">
        <v>2640</v>
      </c>
      <c r="P133" s="21">
        <v>14958</v>
      </c>
      <c r="Q133" s="21">
        <v>6773</v>
      </c>
      <c r="R133" s="21">
        <v>8185</v>
      </c>
      <c r="S133" s="18">
        <v>0</v>
      </c>
      <c r="T133" s="21">
        <v>0</v>
      </c>
      <c r="U133" s="23">
        <v>4.2</v>
      </c>
    </row>
    <row r="134" spans="1:21" x14ac:dyDescent="0.35">
      <c r="A134" s="12" t="s">
        <v>247</v>
      </c>
      <c r="B134" s="12" t="str">
        <f t="shared" si="2"/>
        <v>April</v>
      </c>
      <c r="C134" s="13">
        <v>45035</v>
      </c>
      <c r="D134" s="14" t="s">
        <v>120</v>
      </c>
      <c r="E134" s="14" t="s">
        <v>50</v>
      </c>
      <c r="F134" s="14" t="s">
        <v>108</v>
      </c>
      <c r="G134" s="14" t="s">
        <v>53</v>
      </c>
      <c r="H134" s="14" t="s">
        <v>68</v>
      </c>
      <c r="I134" s="14" t="s">
        <v>67</v>
      </c>
      <c r="J134" s="14" t="s">
        <v>103</v>
      </c>
      <c r="K134" s="12">
        <v>10</v>
      </c>
      <c r="L134" s="15">
        <v>913</v>
      </c>
      <c r="M134" s="15">
        <v>9130</v>
      </c>
      <c r="N134" s="16">
        <v>40</v>
      </c>
      <c r="O134" s="15">
        <v>3652</v>
      </c>
      <c r="P134" s="15">
        <v>5478</v>
      </c>
      <c r="Q134" s="15">
        <v>3545</v>
      </c>
      <c r="R134" s="15">
        <v>1933</v>
      </c>
      <c r="S134" s="12">
        <v>2</v>
      </c>
      <c r="T134" s="15">
        <v>1096</v>
      </c>
      <c r="U134" s="17">
        <v>4.4000000000000004</v>
      </c>
    </row>
    <row r="135" spans="1:21" x14ac:dyDescent="0.35">
      <c r="A135" s="18" t="s">
        <v>248</v>
      </c>
      <c r="B135" s="12" t="str">
        <f t="shared" si="2"/>
        <v>April</v>
      </c>
      <c r="C135" s="19">
        <v>45035</v>
      </c>
      <c r="D135" s="20" t="s">
        <v>105</v>
      </c>
      <c r="E135" s="20" t="s">
        <v>58</v>
      </c>
      <c r="F135" s="20" t="s">
        <v>106</v>
      </c>
      <c r="G135" s="20" t="s">
        <v>51</v>
      </c>
      <c r="H135" s="20" t="s">
        <v>64</v>
      </c>
      <c r="I135" s="20" t="s">
        <v>65</v>
      </c>
      <c r="J135" s="20" t="s">
        <v>95</v>
      </c>
      <c r="K135" s="18">
        <v>11</v>
      </c>
      <c r="L135" s="21">
        <v>2345</v>
      </c>
      <c r="M135" s="21">
        <v>25795</v>
      </c>
      <c r="N135" s="22">
        <v>10</v>
      </c>
      <c r="O135" s="21">
        <v>2580</v>
      </c>
      <c r="P135" s="21">
        <v>23215</v>
      </c>
      <c r="Q135" s="21">
        <v>15288</v>
      </c>
      <c r="R135" s="21">
        <v>7927</v>
      </c>
      <c r="S135" s="18">
        <v>1</v>
      </c>
      <c r="T135" s="21">
        <v>2110</v>
      </c>
      <c r="U135" s="23">
        <v>3.3</v>
      </c>
    </row>
    <row r="136" spans="1:21" x14ac:dyDescent="0.35">
      <c r="A136" s="12" t="s">
        <v>249</v>
      </c>
      <c r="B136" s="12" t="str">
        <f t="shared" si="2"/>
        <v>April</v>
      </c>
      <c r="C136" s="13">
        <v>45036</v>
      </c>
      <c r="D136" s="14" t="s">
        <v>120</v>
      </c>
      <c r="E136" s="14" t="s">
        <v>52</v>
      </c>
      <c r="F136" s="14" t="s">
        <v>102</v>
      </c>
      <c r="G136" s="14" t="s">
        <v>53</v>
      </c>
      <c r="H136" s="14" t="s">
        <v>66</v>
      </c>
      <c r="I136" s="14" t="s">
        <v>67</v>
      </c>
      <c r="J136" s="14" t="s">
        <v>95</v>
      </c>
      <c r="K136" s="12">
        <v>2</v>
      </c>
      <c r="L136" s="15">
        <v>3193</v>
      </c>
      <c r="M136" s="15">
        <v>6386</v>
      </c>
      <c r="N136" s="16">
        <v>15</v>
      </c>
      <c r="O136" s="15">
        <v>958</v>
      </c>
      <c r="P136" s="15">
        <v>5428</v>
      </c>
      <c r="Q136" s="15">
        <v>2772</v>
      </c>
      <c r="R136" s="15">
        <v>2656</v>
      </c>
      <c r="S136" s="12">
        <v>0</v>
      </c>
      <c r="T136" s="15">
        <v>0</v>
      </c>
      <c r="U136" s="17">
        <v>4.0999999999999996</v>
      </c>
    </row>
    <row r="137" spans="1:21" x14ac:dyDescent="0.35">
      <c r="A137" s="18" t="s">
        <v>250</v>
      </c>
      <c r="B137" s="12" t="str">
        <f t="shared" si="2"/>
        <v>April</v>
      </c>
      <c r="C137" s="19">
        <v>45036</v>
      </c>
      <c r="D137" s="20" t="s">
        <v>142</v>
      </c>
      <c r="E137" s="20" t="s">
        <v>58</v>
      </c>
      <c r="F137" s="20" t="s">
        <v>106</v>
      </c>
      <c r="G137" s="20" t="s">
        <v>51</v>
      </c>
      <c r="H137" s="20" t="s">
        <v>66</v>
      </c>
      <c r="I137" s="20" t="s">
        <v>70</v>
      </c>
      <c r="J137" s="20" t="s">
        <v>99</v>
      </c>
      <c r="K137" s="18">
        <v>11</v>
      </c>
      <c r="L137" s="21">
        <v>2224</v>
      </c>
      <c r="M137" s="21">
        <v>24464</v>
      </c>
      <c r="N137" s="22">
        <v>0</v>
      </c>
      <c r="O137" s="21">
        <v>0</v>
      </c>
      <c r="P137" s="21">
        <v>24464</v>
      </c>
      <c r="Q137" s="21">
        <v>16297</v>
      </c>
      <c r="R137" s="21">
        <v>8167</v>
      </c>
      <c r="S137" s="18">
        <v>2</v>
      </c>
      <c r="T137" s="21">
        <v>4448</v>
      </c>
      <c r="U137" s="23">
        <v>2.5</v>
      </c>
    </row>
    <row r="138" spans="1:21" x14ac:dyDescent="0.35">
      <c r="A138" s="12" t="s">
        <v>251</v>
      </c>
      <c r="B138" s="12" t="str">
        <f t="shared" si="2"/>
        <v>April</v>
      </c>
      <c r="C138" s="13">
        <v>45037</v>
      </c>
      <c r="D138" s="14" t="s">
        <v>131</v>
      </c>
      <c r="E138" s="14" t="s">
        <v>50</v>
      </c>
      <c r="F138" s="14" t="s">
        <v>124</v>
      </c>
      <c r="G138" s="14" t="s">
        <v>51</v>
      </c>
      <c r="H138" s="14" t="s">
        <v>68</v>
      </c>
      <c r="I138" s="14" t="s">
        <v>67</v>
      </c>
      <c r="J138" s="14" t="s">
        <v>99</v>
      </c>
      <c r="K138" s="12">
        <v>7</v>
      </c>
      <c r="L138" s="15">
        <v>2254</v>
      </c>
      <c r="M138" s="15">
        <v>15778</v>
      </c>
      <c r="N138" s="16">
        <v>5</v>
      </c>
      <c r="O138" s="15">
        <v>789</v>
      </c>
      <c r="P138" s="15">
        <v>14989</v>
      </c>
      <c r="Q138" s="15">
        <v>7916</v>
      </c>
      <c r="R138" s="15">
        <v>7073</v>
      </c>
      <c r="S138" s="12">
        <v>1</v>
      </c>
      <c r="T138" s="15">
        <v>2141</v>
      </c>
      <c r="U138" s="17">
        <v>4.2</v>
      </c>
    </row>
    <row r="139" spans="1:21" x14ac:dyDescent="0.35">
      <c r="A139" s="18" t="s">
        <v>252</v>
      </c>
      <c r="B139" s="12" t="str">
        <f t="shared" si="2"/>
        <v>April</v>
      </c>
      <c r="C139" s="19">
        <v>45037</v>
      </c>
      <c r="D139" s="20" t="s">
        <v>122</v>
      </c>
      <c r="E139" s="20" t="s">
        <v>50</v>
      </c>
      <c r="F139" s="20" t="s">
        <v>116</v>
      </c>
      <c r="G139" s="20" t="s">
        <v>55</v>
      </c>
      <c r="H139" s="20" t="s">
        <v>68</v>
      </c>
      <c r="I139" s="20" t="s">
        <v>70</v>
      </c>
      <c r="J139" s="20" t="s">
        <v>99</v>
      </c>
      <c r="K139" s="18">
        <v>5</v>
      </c>
      <c r="L139" s="21">
        <v>3691</v>
      </c>
      <c r="M139" s="21">
        <v>18455</v>
      </c>
      <c r="N139" s="22">
        <v>5</v>
      </c>
      <c r="O139" s="21">
        <v>923</v>
      </c>
      <c r="P139" s="21">
        <v>17532</v>
      </c>
      <c r="Q139" s="21">
        <v>11761</v>
      </c>
      <c r="R139" s="21">
        <v>5771</v>
      </c>
      <c r="S139" s="18">
        <v>0</v>
      </c>
      <c r="T139" s="21">
        <v>0</v>
      </c>
      <c r="U139" s="23">
        <v>2.9</v>
      </c>
    </row>
    <row r="140" spans="1:21" x14ac:dyDescent="0.35">
      <c r="A140" s="12" t="s">
        <v>253</v>
      </c>
      <c r="B140" s="12" t="str">
        <f t="shared" si="2"/>
        <v>April</v>
      </c>
      <c r="C140" s="13">
        <v>45038</v>
      </c>
      <c r="D140" s="14" t="s">
        <v>120</v>
      </c>
      <c r="E140" s="14" t="s">
        <v>52</v>
      </c>
      <c r="F140" s="14" t="s">
        <v>102</v>
      </c>
      <c r="G140" s="14" t="s">
        <v>57</v>
      </c>
      <c r="H140" s="14" t="s">
        <v>64</v>
      </c>
      <c r="I140" s="14" t="s">
        <v>71</v>
      </c>
      <c r="J140" s="14" t="s">
        <v>95</v>
      </c>
      <c r="K140" s="12">
        <v>12</v>
      </c>
      <c r="L140" s="15">
        <v>3353</v>
      </c>
      <c r="M140" s="15">
        <v>40236</v>
      </c>
      <c r="N140" s="16">
        <v>50</v>
      </c>
      <c r="O140" s="15">
        <v>20118</v>
      </c>
      <c r="P140" s="15">
        <v>20118</v>
      </c>
      <c r="Q140" s="15">
        <v>11163</v>
      </c>
      <c r="R140" s="15">
        <v>8955</v>
      </c>
      <c r="S140" s="12">
        <v>3</v>
      </c>
      <c r="T140" s="15">
        <v>5030</v>
      </c>
      <c r="U140" s="17">
        <v>4</v>
      </c>
    </row>
    <row r="141" spans="1:21" x14ac:dyDescent="0.35">
      <c r="A141" s="18" t="s">
        <v>254</v>
      </c>
      <c r="B141" s="12" t="str">
        <f t="shared" si="2"/>
        <v>April</v>
      </c>
      <c r="C141" s="19">
        <v>45039</v>
      </c>
      <c r="D141" s="20" t="s">
        <v>97</v>
      </c>
      <c r="E141" s="20" t="s">
        <v>58</v>
      </c>
      <c r="F141" s="20" t="s">
        <v>124</v>
      </c>
      <c r="G141" s="20" t="s">
        <v>51</v>
      </c>
      <c r="H141" s="20" t="s">
        <v>64</v>
      </c>
      <c r="I141" s="20" t="s">
        <v>67</v>
      </c>
      <c r="J141" s="20" t="s">
        <v>99</v>
      </c>
      <c r="K141" s="18">
        <v>4</v>
      </c>
      <c r="L141" s="21">
        <v>500</v>
      </c>
      <c r="M141" s="21">
        <v>2000</v>
      </c>
      <c r="N141" s="22">
        <v>15</v>
      </c>
      <c r="O141" s="21">
        <v>300</v>
      </c>
      <c r="P141" s="21">
        <v>1700</v>
      </c>
      <c r="Q141" s="21">
        <v>985</v>
      </c>
      <c r="R141" s="21">
        <v>715</v>
      </c>
      <c r="S141" s="18">
        <v>1</v>
      </c>
      <c r="T141" s="21">
        <v>425</v>
      </c>
      <c r="U141" s="23">
        <v>3.5</v>
      </c>
    </row>
    <row r="142" spans="1:21" x14ac:dyDescent="0.35">
      <c r="A142" s="12" t="s">
        <v>255</v>
      </c>
      <c r="B142" s="12" t="str">
        <f t="shared" si="2"/>
        <v>April</v>
      </c>
      <c r="C142" s="13">
        <v>45040</v>
      </c>
      <c r="D142" s="14" t="s">
        <v>120</v>
      </c>
      <c r="E142" s="14" t="s">
        <v>56</v>
      </c>
      <c r="F142" s="14" t="s">
        <v>106</v>
      </c>
      <c r="G142" s="14" t="s">
        <v>51</v>
      </c>
      <c r="H142" s="14" t="s">
        <v>64</v>
      </c>
      <c r="I142" s="14" t="s">
        <v>70</v>
      </c>
      <c r="J142" s="14" t="s">
        <v>99</v>
      </c>
      <c r="K142" s="12">
        <v>14</v>
      </c>
      <c r="L142" s="15">
        <v>3199</v>
      </c>
      <c r="M142" s="15">
        <v>44786</v>
      </c>
      <c r="N142" s="16">
        <v>25</v>
      </c>
      <c r="O142" s="15">
        <v>11196</v>
      </c>
      <c r="P142" s="15">
        <v>33590</v>
      </c>
      <c r="Q142" s="15">
        <v>22394</v>
      </c>
      <c r="R142" s="15">
        <v>11196</v>
      </c>
      <c r="S142" s="12">
        <v>1</v>
      </c>
      <c r="T142" s="15">
        <v>2399</v>
      </c>
      <c r="U142" s="17">
        <v>3.6</v>
      </c>
    </row>
    <row r="143" spans="1:21" x14ac:dyDescent="0.35">
      <c r="A143" s="18" t="s">
        <v>256</v>
      </c>
      <c r="B143" s="12" t="str">
        <f t="shared" si="2"/>
        <v>April</v>
      </c>
      <c r="C143" s="19">
        <v>45041</v>
      </c>
      <c r="D143" s="20" t="s">
        <v>115</v>
      </c>
      <c r="E143" s="20" t="s">
        <v>58</v>
      </c>
      <c r="F143" s="20" t="s">
        <v>98</v>
      </c>
      <c r="G143" s="20" t="s">
        <v>53</v>
      </c>
      <c r="H143" s="20" t="s">
        <v>66</v>
      </c>
      <c r="I143" s="20" t="s">
        <v>67</v>
      </c>
      <c r="J143" s="20" t="s">
        <v>95</v>
      </c>
      <c r="K143" s="18">
        <v>13</v>
      </c>
      <c r="L143" s="21">
        <v>1608</v>
      </c>
      <c r="M143" s="21">
        <v>20904</v>
      </c>
      <c r="N143" s="22">
        <v>15</v>
      </c>
      <c r="O143" s="21">
        <v>3136</v>
      </c>
      <c r="P143" s="21">
        <v>17768</v>
      </c>
      <c r="Q143" s="21">
        <v>11581</v>
      </c>
      <c r="R143" s="21">
        <v>6187</v>
      </c>
      <c r="S143" s="18">
        <v>0</v>
      </c>
      <c r="T143" s="21">
        <v>0</v>
      </c>
      <c r="U143" s="23">
        <v>4</v>
      </c>
    </row>
    <row r="144" spans="1:21" x14ac:dyDescent="0.35">
      <c r="A144" s="12" t="s">
        <v>257</v>
      </c>
      <c r="B144" s="12" t="str">
        <f t="shared" si="2"/>
        <v>April</v>
      </c>
      <c r="C144" s="13">
        <v>45041</v>
      </c>
      <c r="D144" s="14" t="s">
        <v>131</v>
      </c>
      <c r="E144" s="14" t="s">
        <v>56</v>
      </c>
      <c r="F144" s="14" t="s">
        <v>102</v>
      </c>
      <c r="G144" s="14" t="s">
        <v>55</v>
      </c>
      <c r="H144" s="14" t="s">
        <v>64</v>
      </c>
      <c r="I144" s="14" t="s">
        <v>71</v>
      </c>
      <c r="J144" s="14" t="s">
        <v>103</v>
      </c>
      <c r="K144" s="12">
        <v>5</v>
      </c>
      <c r="L144" s="15">
        <v>3556</v>
      </c>
      <c r="M144" s="15">
        <v>17780</v>
      </c>
      <c r="N144" s="16">
        <v>0</v>
      </c>
      <c r="O144" s="15">
        <v>0</v>
      </c>
      <c r="P144" s="15">
        <v>17780</v>
      </c>
      <c r="Q144" s="15">
        <v>12119</v>
      </c>
      <c r="R144" s="15">
        <v>5661</v>
      </c>
      <c r="S144" s="12">
        <v>1</v>
      </c>
      <c r="T144" s="15">
        <v>3556</v>
      </c>
      <c r="U144" s="17">
        <v>3.5</v>
      </c>
    </row>
    <row r="145" spans="1:21" x14ac:dyDescent="0.35">
      <c r="A145" s="18" t="s">
        <v>258</v>
      </c>
      <c r="B145" s="12" t="str">
        <f t="shared" si="2"/>
        <v>April</v>
      </c>
      <c r="C145" s="19">
        <v>45042</v>
      </c>
      <c r="D145" s="20" t="s">
        <v>113</v>
      </c>
      <c r="E145" s="20" t="s">
        <v>56</v>
      </c>
      <c r="F145" s="20" t="s">
        <v>111</v>
      </c>
      <c r="G145" s="20" t="s">
        <v>53</v>
      </c>
      <c r="H145" s="20" t="s">
        <v>64</v>
      </c>
      <c r="I145" s="20" t="s">
        <v>69</v>
      </c>
      <c r="J145" s="20" t="s">
        <v>95</v>
      </c>
      <c r="K145" s="18">
        <v>3</v>
      </c>
      <c r="L145" s="21">
        <v>4024</v>
      </c>
      <c r="M145" s="21">
        <v>12072</v>
      </c>
      <c r="N145" s="22">
        <v>20</v>
      </c>
      <c r="O145" s="21">
        <v>2414</v>
      </c>
      <c r="P145" s="21">
        <v>9658</v>
      </c>
      <c r="Q145" s="21">
        <v>5406</v>
      </c>
      <c r="R145" s="21">
        <v>4252</v>
      </c>
      <c r="S145" s="18">
        <v>1</v>
      </c>
      <c r="T145" s="21">
        <v>3219</v>
      </c>
      <c r="U145" s="23">
        <v>4.2</v>
      </c>
    </row>
    <row r="146" spans="1:21" x14ac:dyDescent="0.35">
      <c r="A146" s="12" t="s">
        <v>259</v>
      </c>
      <c r="B146" s="12" t="str">
        <f t="shared" si="2"/>
        <v>April</v>
      </c>
      <c r="C146" s="13">
        <v>45043</v>
      </c>
      <c r="D146" s="14" t="s">
        <v>97</v>
      </c>
      <c r="E146" s="14" t="s">
        <v>54</v>
      </c>
      <c r="F146" s="14" t="s">
        <v>111</v>
      </c>
      <c r="G146" s="14" t="s">
        <v>53</v>
      </c>
      <c r="H146" s="14" t="s">
        <v>64</v>
      </c>
      <c r="I146" s="14" t="s">
        <v>71</v>
      </c>
      <c r="J146" s="14" t="s">
        <v>95</v>
      </c>
      <c r="K146" s="12">
        <v>5</v>
      </c>
      <c r="L146" s="15">
        <v>513</v>
      </c>
      <c r="M146" s="15">
        <v>2565</v>
      </c>
      <c r="N146" s="16">
        <v>0</v>
      </c>
      <c r="O146" s="15">
        <v>0</v>
      </c>
      <c r="P146" s="15">
        <v>2565</v>
      </c>
      <c r="Q146" s="15">
        <v>1509</v>
      </c>
      <c r="R146" s="15">
        <v>1056</v>
      </c>
      <c r="S146" s="12">
        <v>0</v>
      </c>
      <c r="T146" s="15">
        <v>0</v>
      </c>
      <c r="U146" s="17">
        <v>4.0999999999999996</v>
      </c>
    </row>
    <row r="147" spans="1:21" x14ac:dyDescent="0.35">
      <c r="A147" s="18" t="s">
        <v>260</v>
      </c>
      <c r="B147" s="12" t="str">
        <f t="shared" si="2"/>
        <v>April</v>
      </c>
      <c r="C147" s="19">
        <v>45044</v>
      </c>
      <c r="D147" s="20" t="s">
        <v>97</v>
      </c>
      <c r="E147" s="20" t="s">
        <v>58</v>
      </c>
      <c r="F147" s="20" t="s">
        <v>151</v>
      </c>
      <c r="G147" s="20" t="s">
        <v>53</v>
      </c>
      <c r="H147" s="20" t="s">
        <v>68</v>
      </c>
      <c r="I147" s="20" t="s">
        <v>67</v>
      </c>
      <c r="J147" s="20" t="s">
        <v>95</v>
      </c>
      <c r="K147" s="18">
        <v>4</v>
      </c>
      <c r="L147" s="21">
        <v>4591</v>
      </c>
      <c r="M147" s="21">
        <v>18364</v>
      </c>
      <c r="N147" s="22">
        <v>25</v>
      </c>
      <c r="O147" s="21">
        <v>4591</v>
      </c>
      <c r="P147" s="21">
        <v>13773</v>
      </c>
      <c r="Q147" s="21">
        <v>6930</v>
      </c>
      <c r="R147" s="21">
        <v>6843</v>
      </c>
      <c r="S147" s="18">
        <v>1</v>
      </c>
      <c r="T147" s="21">
        <v>3443</v>
      </c>
      <c r="U147" s="23">
        <v>3.5</v>
      </c>
    </row>
    <row r="148" spans="1:21" x14ac:dyDescent="0.35">
      <c r="A148" s="12" t="s">
        <v>261</v>
      </c>
      <c r="B148" s="12" t="str">
        <f t="shared" si="2"/>
        <v>April</v>
      </c>
      <c r="C148" s="13">
        <v>45044</v>
      </c>
      <c r="D148" s="14" t="s">
        <v>97</v>
      </c>
      <c r="E148" s="14" t="s">
        <v>48</v>
      </c>
      <c r="F148" s="14" t="s">
        <v>94</v>
      </c>
      <c r="G148" s="14" t="s">
        <v>51</v>
      </c>
      <c r="H148" s="14" t="s">
        <v>66</v>
      </c>
      <c r="I148" s="14" t="s">
        <v>70</v>
      </c>
      <c r="J148" s="14" t="s">
        <v>103</v>
      </c>
      <c r="K148" s="12">
        <v>5</v>
      </c>
      <c r="L148" s="15">
        <v>3484</v>
      </c>
      <c r="M148" s="15">
        <v>17420</v>
      </c>
      <c r="N148" s="16">
        <v>10</v>
      </c>
      <c r="O148" s="15">
        <v>1742</v>
      </c>
      <c r="P148" s="15">
        <v>15678</v>
      </c>
      <c r="Q148" s="15">
        <v>9518</v>
      </c>
      <c r="R148" s="15">
        <v>6160</v>
      </c>
      <c r="S148" s="12">
        <v>0</v>
      </c>
      <c r="T148" s="15">
        <v>0</v>
      </c>
      <c r="U148" s="17">
        <v>3.3</v>
      </c>
    </row>
    <row r="149" spans="1:21" x14ac:dyDescent="0.35">
      <c r="A149" s="18" t="s">
        <v>262</v>
      </c>
      <c r="B149" s="12" t="str">
        <f t="shared" si="2"/>
        <v>April</v>
      </c>
      <c r="C149" s="19">
        <v>45045</v>
      </c>
      <c r="D149" s="20" t="s">
        <v>97</v>
      </c>
      <c r="E149" s="20" t="s">
        <v>58</v>
      </c>
      <c r="F149" s="20" t="s">
        <v>98</v>
      </c>
      <c r="G149" s="20" t="s">
        <v>53</v>
      </c>
      <c r="H149" s="20" t="s">
        <v>66</v>
      </c>
      <c r="I149" s="20" t="s">
        <v>71</v>
      </c>
      <c r="J149" s="20" t="s">
        <v>103</v>
      </c>
      <c r="K149" s="18">
        <v>7</v>
      </c>
      <c r="L149" s="21">
        <v>4853</v>
      </c>
      <c r="M149" s="21">
        <v>33971</v>
      </c>
      <c r="N149" s="22">
        <v>25</v>
      </c>
      <c r="O149" s="21">
        <v>8493</v>
      </c>
      <c r="P149" s="21">
        <v>25478</v>
      </c>
      <c r="Q149" s="21">
        <v>11654</v>
      </c>
      <c r="R149" s="21">
        <v>13824</v>
      </c>
      <c r="S149" s="18">
        <v>1</v>
      </c>
      <c r="T149" s="21">
        <v>3640</v>
      </c>
      <c r="U149" s="23">
        <v>4.5</v>
      </c>
    </row>
    <row r="150" spans="1:21" x14ac:dyDescent="0.35">
      <c r="A150" s="12" t="s">
        <v>263</v>
      </c>
      <c r="B150" s="12" t="str">
        <f t="shared" si="2"/>
        <v>April</v>
      </c>
      <c r="C150" s="13">
        <v>45045</v>
      </c>
      <c r="D150" s="14" t="s">
        <v>131</v>
      </c>
      <c r="E150" s="14" t="s">
        <v>48</v>
      </c>
      <c r="F150" s="14" t="s">
        <v>106</v>
      </c>
      <c r="G150" s="14" t="s">
        <v>51</v>
      </c>
      <c r="H150" s="14" t="s">
        <v>66</v>
      </c>
      <c r="I150" s="14" t="s">
        <v>69</v>
      </c>
      <c r="J150" s="14" t="s">
        <v>99</v>
      </c>
      <c r="K150" s="12">
        <v>2</v>
      </c>
      <c r="L150" s="15">
        <v>3533</v>
      </c>
      <c r="M150" s="15">
        <v>7066</v>
      </c>
      <c r="N150" s="16">
        <v>40</v>
      </c>
      <c r="O150" s="15">
        <v>2826</v>
      </c>
      <c r="P150" s="15">
        <v>4240</v>
      </c>
      <c r="Q150" s="15">
        <v>2050</v>
      </c>
      <c r="R150" s="15">
        <v>2190</v>
      </c>
      <c r="S150" s="12">
        <v>1</v>
      </c>
      <c r="T150" s="15">
        <v>2120</v>
      </c>
      <c r="U150" s="17">
        <v>4.3</v>
      </c>
    </row>
    <row r="151" spans="1:21" x14ac:dyDescent="0.35">
      <c r="A151" s="18" t="s">
        <v>264</v>
      </c>
      <c r="B151" s="12" t="str">
        <f t="shared" si="2"/>
        <v>May</v>
      </c>
      <c r="C151" s="19">
        <v>45047</v>
      </c>
      <c r="D151" s="20" t="s">
        <v>105</v>
      </c>
      <c r="E151" s="20" t="s">
        <v>58</v>
      </c>
      <c r="F151" s="20" t="s">
        <v>94</v>
      </c>
      <c r="G151" s="20" t="s">
        <v>49</v>
      </c>
      <c r="H151" s="20" t="s">
        <v>66</v>
      </c>
      <c r="I151" s="20" t="s">
        <v>67</v>
      </c>
      <c r="J151" s="20" t="s">
        <v>103</v>
      </c>
      <c r="K151" s="18">
        <v>15</v>
      </c>
      <c r="L151" s="21">
        <v>4895</v>
      </c>
      <c r="M151" s="21">
        <v>73425</v>
      </c>
      <c r="N151" s="22">
        <v>25</v>
      </c>
      <c r="O151" s="21">
        <v>18356</v>
      </c>
      <c r="P151" s="21">
        <v>55069</v>
      </c>
      <c r="Q151" s="21">
        <v>25615</v>
      </c>
      <c r="R151" s="21">
        <v>29454</v>
      </c>
      <c r="S151" s="18">
        <v>2</v>
      </c>
      <c r="T151" s="21">
        <v>7342</v>
      </c>
      <c r="U151" s="23">
        <v>3</v>
      </c>
    </row>
    <row r="152" spans="1:21" x14ac:dyDescent="0.35">
      <c r="A152" s="12" t="s">
        <v>265</v>
      </c>
      <c r="B152" s="12" t="str">
        <f t="shared" si="2"/>
        <v>May</v>
      </c>
      <c r="C152" s="13">
        <v>45047</v>
      </c>
      <c r="D152" s="14" t="s">
        <v>122</v>
      </c>
      <c r="E152" s="14" t="s">
        <v>59</v>
      </c>
      <c r="F152" s="14" t="s">
        <v>111</v>
      </c>
      <c r="G152" s="14" t="s">
        <v>53</v>
      </c>
      <c r="H152" s="14" t="s">
        <v>64</v>
      </c>
      <c r="I152" s="14" t="s">
        <v>70</v>
      </c>
      <c r="J152" s="14" t="s">
        <v>103</v>
      </c>
      <c r="K152" s="12">
        <v>3</v>
      </c>
      <c r="L152" s="15">
        <v>3872</v>
      </c>
      <c r="M152" s="15">
        <v>11616</v>
      </c>
      <c r="N152" s="16">
        <v>5</v>
      </c>
      <c r="O152" s="15">
        <v>581</v>
      </c>
      <c r="P152" s="15">
        <v>11035</v>
      </c>
      <c r="Q152" s="15">
        <v>5454</v>
      </c>
      <c r="R152" s="15">
        <v>5581</v>
      </c>
      <c r="S152" s="12">
        <v>1</v>
      </c>
      <c r="T152" s="15">
        <v>3678</v>
      </c>
      <c r="U152" s="17">
        <v>3.7</v>
      </c>
    </row>
    <row r="153" spans="1:21" x14ac:dyDescent="0.35">
      <c r="A153" s="18" t="s">
        <v>266</v>
      </c>
      <c r="B153" s="12" t="str">
        <f t="shared" si="2"/>
        <v>May</v>
      </c>
      <c r="C153" s="19">
        <v>45047</v>
      </c>
      <c r="D153" s="20" t="s">
        <v>105</v>
      </c>
      <c r="E153" s="20" t="s">
        <v>56</v>
      </c>
      <c r="F153" s="20" t="s">
        <v>106</v>
      </c>
      <c r="G153" s="20" t="s">
        <v>53</v>
      </c>
      <c r="H153" s="20" t="s">
        <v>64</v>
      </c>
      <c r="I153" s="20" t="s">
        <v>70</v>
      </c>
      <c r="J153" s="20" t="s">
        <v>95</v>
      </c>
      <c r="K153" s="18">
        <v>14</v>
      </c>
      <c r="L153" s="21">
        <v>1473</v>
      </c>
      <c r="M153" s="21">
        <v>20622</v>
      </c>
      <c r="N153" s="22">
        <v>25</v>
      </c>
      <c r="O153" s="21">
        <v>5156</v>
      </c>
      <c r="P153" s="21">
        <v>15466</v>
      </c>
      <c r="Q153" s="21">
        <v>7563</v>
      </c>
      <c r="R153" s="21">
        <v>7903</v>
      </c>
      <c r="S153" s="18">
        <v>0</v>
      </c>
      <c r="T153" s="21">
        <v>0</v>
      </c>
      <c r="U153" s="23">
        <v>2.8</v>
      </c>
    </row>
    <row r="154" spans="1:21" x14ac:dyDescent="0.35">
      <c r="A154" s="12" t="s">
        <v>267</v>
      </c>
      <c r="B154" s="12" t="str">
        <f t="shared" si="2"/>
        <v>May</v>
      </c>
      <c r="C154" s="13">
        <v>45047</v>
      </c>
      <c r="D154" s="14" t="s">
        <v>131</v>
      </c>
      <c r="E154" s="14" t="s">
        <v>48</v>
      </c>
      <c r="F154" s="14" t="s">
        <v>108</v>
      </c>
      <c r="G154" s="14" t="s">
        <v>49</v>
      </c>
      <c r="H154" s="14" t="s">
        <v>66</v>
      </c>
      <c r="I154" s="14" t="s">
        <v>67</v>
      </c>
      <c r="J154" s="14" t="s">
        <v>99</v>
      </c>
      <c r="K154" s="12">
        <v>15</v>
      </c>
      <c r="L154" s="15">
        <v>4999</v>
      </c>
      <c r="M154" s="15">
        <v>74985</v>
      </c>
      <c r="N154" s="16">
        <v>0</v>
      </c>
      <c r="O154" s="15">
        <v>0</v>
      </c>
      <c r="P154" s="15">
        <v>74985</v>
      </c>
      <c r="Q154" s="15">
        <v>51442</v>
      </c>
      <c r="R154" s="15">
        <v>23543</v>
      </c>
      <c r="S154" s="12">
        <v>2</v>
      </c>
      <c r="T154" s="15">
        <v>9998</v>
      </c>
      <c r="U154" s="17">
        <v>3.1</v>
      </c>
    </row>
    <row r="155" spans="1:21" x14ac:dyDescent="0.35">
      <c r="A155" s="18" t="s">
        <v>268</v>
      </c>
      <c r="B155" s="12" t="str">
        <f t="shared" si="2"/>
        <v>May</v>
      </c>
      <c r="C155" s="19">
        <v>45048</v>
      </c>
      <c r="D155" s="20" t="s">
        <v>105</v>
      </c>
      <c r="E155" s="20" t="s">
        <v>58</v>
      </c>
      <c r="F155" s="20" t="s">
        <v>111</v>
      </c>
      <c r="G155" s="20" t="s">
        <v>51</v>
      </c>
      <c r="H155" s="20" t="s">
        <v>68</v>
      </c>
      <c r="I155" s="20" t="s">
        <v>69</v>
      </c>
      <c r="J155" s="20" t="s">
        <v>95</v>
      </c>
      <c r="K155" s="18">
        <v>12</v>
      </c>
      <c r="L155" s="21">
        <v>4644</v>
      </c>
      <c r="M155" s="21">
        <v>55728</v>
      </c>
      <c r="N155" s="22">
        <v>30</v>
      </c>
      <c r="O155" s="21">
        <v>16718</v>
      </c>
      <c r="P155" s="21">
        <v>39010</v>
      </c>
      <c r="Q155" s="21">
        <v>25378</v>
      </c>
      <c r="R155" s="21">
        <v>13632</v>
      </c>
      <c r="S155" s="18">
        <v>1</v>
      </c>
      <c r="T155" s="21">
        <v>3251</v>
      </c>
      <c r="U155" s="23">
        <v>3.2</v>
      </c>
    </row>
    <row r="156" spans="1:21" x14ac:dyDescent="0.35">
      <c r="A156" s="12" t="s">
        <v>269</v>
      </c>
      <c r="B156" s="12" t="str">
        <f t="shared" si="2"/>
        <v>May</v>
      </c>
      <c r="C156" s="13">
        <v>45048</v>
      </c>
      <c r="D156" s="14" t="s">
        <v>131</v>
      </c>
      <c r="E156" s="14" t="s">
        <v>48</v>
      </c>
      <c r="F156" s="14" t="s">
        <v>94</v>
      </c>
      <c r="G156" s="14" t="s">
        <v>49</v>
      </c>
      <c r="H156" s="14" t="s">
        <v>64</v>
      </c>
      <c r="I156" s="14" t="s">
        <v>67</v>
      </c>
      <c r="J156" s="14" t="s">
        <v>95</v>
      </c>
      <c r="K156" s="12">
        <v>3</v>
      </c>
      <c r="L156" s="15">
        <v>3785</v>
      </c>
      <c r="M156" s="15">
        <v>11355</v>
      </c>
      <c r="N156" s="16">
        <v>50</v>
      </c>
      <c r="O156" s="15">
        <v>5678</v>
      </c>
      <c r="P156" s="15">
        <v>5677</v>
      </c>
      <c r="Q156" s="15">
        <v>2716</v>
      </c>
      <c r="R156" s="15">
        <v>2961</v>
      </c>
      <c r="S156" s="12">
        <v>0</v>
      </c>
      <c r="T156" s="15">
        <v>0</v>
      </c>
      <c r="U156" s="17">
        <v>3.7</v>
      </c>
    </row>
    <row r="157" spans="1:21" x14ac:dyDescent="0.35">
      <c r="A157" s="18" t="s">
        <v>270</v>
      </c>
      <c r="B157" s="12" t="str">
        <f t="shared" si="2"/>
        <v>May</v>
      </c>
      <c r="C157" s="19">
        <v>45048</v>
      </c>
      <c r="D157" s="20" t="s">
        <v>122</v>
      </c>
      <c r="E157" s="20" t="s">
        <v>54</v>
      </c>
      <c r="F157" s="20" t="s">
        <v>108</v>
      </c>
      <c r="G157" s="20" t="s">
        <v>53</v>
      </c>
      <c r="H157" s="20" t="s">
        <v>68</v>
      </c>
      <c r="I157" s="20" t="s">
        <v>67</v>
      </c>
      <c r="J157" s="20" t="s">
        <v>99</v>
      </c>
      <c r="K157" s="18">
        <v>8</v>
      </c>
      <c r="L157" s="21">
        <v>1577</v>
      </c>
      <c r="M157" s="21">
        <v>12616</v>
      </c>
      <c r="N157" s="22">
        <v>5</v>
      </c>
      <c r="O157" s="21">
        <v>631</v>
      </c>
      <c r="P157" s="21">
        <v>11985</v>
      </c>
      <c r="Q157" s="21">
        <v>8220</v>
      </c>
      <c r="R157" s="21">
        <v>3765</v>
      </c>
      <c r="S157" s="18">
        <v>0</v>
      </c>
      <c r="T157" s="21">
        <v>0</v>
      </c>
      <c r="U157" s="23">
        <v>4.4000000000000004</v>
      </c>
    </row>
    <row r="158" spans="1:21" x14ac:dyDescent="0.35">
      <c r="A158" s="12" t="s">
        <v>271</v>
      </c>
      <c r="B158" s="12" t="str">
        <f t="shared" si="2"/>
        <v>May</v>
      </c>
      <c r="C158" s="13">
        <v>45048</v>
      </c>
      <c r="D158" s="14" t="s">
        <v>93</v>
      </c>
      <c r="E158" s="14" t="s">
        <v>52</v>
      </c>
      <c r="F158" s="14" t="s">
        <v>134</v>
      </c>
      <c r="G158" s="14" t="s">
        <v>55</v>
      </c>
      <c r="H158" s="14" t="s">
        <v>68</v>
      </c>
      <c r="I158" s="14" t="s">
        <v>65</v>
      </c>
      <c r="J158" s="14" t="s">
        <v>99</v>
      </c>
      <c r="K158" s="12">
        <v>2</v>
      </c>
      <c r="L158" s="15">
        <v>3125</v>
      </c>
      <c r="M158" s="15">
        <v>6250</v>
      </c>
      <c r="N158" s="16">
        <v>0</v>
      </c>
      <c r="O158" s="15">
        <v>0</v>
      </c>
      <c r="P158" s="15">
        <v>6250</v>
      </c>
      <c r="Q158" s="15">
        <v>3195</v>
      </c>
      <c r="R158" s="15">
        <v>3055</v>
      </c>
      <c r="S158" s="12">
        <v>1</v>
      </c>
      <c r="T158" s="15">
        <v>3125</v>
      </c>
      <c r="U158" s="17">
        <v>4</v>
      </c>
    </row>
    <row r="159" spans="1:21" x14ac:dyDescent="0.35">
      <c r="A159" s="18" t="s">
        <v>272</v>
      </c>
      <c r="B159" s="12" t="str">
        <f t="shared" si="2"/>
        <v>May</v>
      </c>
      <c r="C159" s="19">
        <v>45050</v>
      </c>
      <c r="D159" s="20" t="s">
        <v>113</v>
      </c>
      <c r="E159" s="20" t="s">
        <v>59</v>
      </c>
      <c r="F159" s="20" t="s">
        <v>134</v>
      </c>
      <c r="G159" s="20" t="s">
        <v>55</v>
      </c>
      <c r="H159" s="20" t="s">
        <v>66</v>
      </c>
      <c r="I159" s="20" t="s">
        <v>67</v>
      </c>
      <c r="J159" s="20" t="s">
        <v>103</v>
      </c>
      <c r="K159" s="18">
        <v>3</v>
      </c>
      <c r="L159" s="21">
        <v>3689</v>
      </c>
      <c r="M159" s="21">
        <v>11067</v>
      </c>
      <c r="N159" s="22">
        <v>40</v>
      </c>
      <c r="O159" s="21">
        <v>4427</v>
      </c>
      <c r="P159" s="21">
        <v>6640</v>
      </c>
      <c r="Q159" s="21">
        <v>4644</v>
      </c>
      <c r="R159" s="21">
        <v>1996</v>
      </c>
      <c r="S159" s="18">
        <v>1</v>
      </c>
      <c r="T159" s="21">
        <v>2213</v>
      </c>
      <c r="U159" s="23">
        <v>4.8</v>
      </c>
    </row>
    <row r="160" spans="1:21" x14ac:dyDescent="0.35">
      <c r="A160" s="12" t="s">
        <v>273</v>
      </c>
      <c r="B160" s="12" t="str">
        <f t="shared" si="2"/>
        <v>May</v>
      </c>
      <c r="C160" s="13">
        <v>45051</v>
      </c>
      <c r="D160" s="14" t="s">
        <v>131</v>
      </c>
      <c r="E160" s="14" t="s">
        <v>56</v>
      </c>
      <c r="F160" s="14" t="s">
        <v>134</v>
      </c>
      <c r="G160" s="14" t="s">
        <v>51</v>
      </c>
      <c r="H160" s="14" t="s">
        <v>68</v>
      </c>
      <c r="I160" s="14" t="s">
        <v>70</v>
      </c>
      <c r="J160" s="14" t="s">
        <v>103</v>
      </c>
      <c r="K160" s="12">
        <v>6</v>
      </c>
      <c r="L160" s="15">
        <v>3944</v>
      </c>
      <c r="M160" s="15">
        <v>23664</v>
      </c>
      <c r="N160" s="16">
        <v>30</v>
      </c>
      <c r="O160" s="15">
        <v>7099</v>
      </c>
      <c r="P160" s="15">
        <v>16565</v>
      </c>
      <c r="Q160" s="15">
        <v>9385</v>
      </c>
      <c r="R160" s="15">
        <v>7180</v>
      </c>
      <c r="S160" s="12">
        <v>1</v>
      </c>
      <c r="T160" s="15">
        <v>2761</v>
      </c>
      <c r="U160" s="17">
        <v>3.3</v>
      </c>
    </row>
    <row r="161" spans="1:21" x14ac:dyDescent="0.35">
      <c r="A161" s="18" t="s">
        <v>274</v>
      </c>
      <c r="B161" s="12" t="str">
        <f t="shared" si="2"/>
        <v>May</v>
      </c>
      <c r="C161" s="19">
        <v>45051</v>
      </c>
      <c r="D161" s="20" t="s">
        <v>93</v>
      </c>
      <c r="E161" s="20" t="s">
        <v>59</v>
      </c>
      <c r="F161" s="20" t="s">
        <v>111</v>
      </c>
      <c r="G161" s="20" t="s">
        <v>57</v>
      </c>
      <c r="H161" s="20" t="s">
        <v>66</v>
      </c>
      <c r="I161" s="20" t="s">
        <v>70</v>
      </c>
      <c r="J161" s="20" t="s">
        <v>95</v>
      </c>
      <c r="K161" s="18">
        <v>11</v>
      </c>
      <c r="L161" s="21">
        <v>2708</v>
      </c>
      <c r="M161" s="21">
        <v>29788</v>
      </c>
      <c r="N161" s="22">
        <v>10</v>
      </c>
      <c r="O161" s="21">
        <v>2979</v>
      </c>
      <c r="P161" s="21">
        <v>26809</v>
      </c>
      <c r="Q161" s="21">
        <v>12439</v>
      </c>
      <c r="R161" s="21">
        <v>14370</v>
      </c>
      <c r="S161" s="18">
        <v>1</v>
      </c>
      <c r="T161" s="21">
        <v>2437</v>
      </c>
      <c r="U161" s="23">
        <v>4.8</v>
      </c>
    </row>
    <row r="162" spans="1:21" x14ac:dyDescent="0.35">
      <c r="A162" s="12" t="s">
        <v>275</v>
      </c>
      <c r="B162" s="12" t="str">
        <f t="shared" si="2"/>
        <v>May</v>
      </c>
      <c r="C162" s="13">
        <v>45053</v>
      </c>
      <c r="D162" s="14" t="s">
        <v>122</v>
      </c>
      <c r="E162" s="14" t="s">
        <v>54</v>
      </c>
      <c r="F162" s="14" t="s">
        <v>98</v>
      </c>
      <c r="G162" s="14" t="s">
        <v>51</v>
      </c>
      <c r="H162" s="14" t="s">
        <v>66</v>
      </c>
      <c r="I162" s="14" t="s">
        <v>71</v>
      </c>
      <c r="J162" s="14" t="s">
        <v>103</v>
      </c>
      <c r="K162" s="12">
        <v>12</v>
      </c>
      <c r="L162" s="15">
        <v>3155</v>
      </c>
      <c r="M162" s="15">
        <v>37860</v>
      </c>
      <c r="N162" s="16">
        <v>0</v>
      </c>
      <c r="O162" s="15">
        <v>0</v>
      </c>
      <c r="P162" s="15">
        <v>37860</v>
      </c>
      <c r="Q162" s="15">
        <v>25062</v>
      </c>
      <c r="R162" s="15">
        <v>12798</v>
      </c>
      <c r="S162" s="12">
        <v>2</v>
      </c>
      <c r="T162" s="15">
        <v>6310</v>
      </c>
      <c r="U162" s="17">
        <v>3</v>
      </c>
    </row>
    <row r="163" spans="1:21" x14ac:dyDescent="0.35">
      <c r="A163" s="18" t="s">
        <v>276</v>
      </c>
      <c r="B163" s="12" t="str">
        <f t="shared" si="2"/>
        <v>May</v>
      </c>
      <c r="C163" s="19">
        <v>45054</v>
      </c>
      <c r="D163" s="20" t="s">
        <v>93</v>
      </c>
      <c r="E163" s="20" t="s">
        <v>52</v>
      </c>
      <c r="F163" s="20" t="s">
        <v>106</v>
      </c>
      <c r="G163" s="20" t="s">
        <v>57</v>
      </c>
      <c r="H163" s="20" t="s">
        <v>68</v>
      </c>
      <c r="I163" s="20" t="s">
        <v>70</v>
      </c>
      <c r="J163" s="20" t="s">
        <v>99</v>
      </c>
      <c r="K163" s="18">
        <v>3</v>
      </c>
      <c r="L163" s="21">
        <v>1608</v>
      </c>
      <c r="M163" s="21">
        <v>4824</v>
      </c>
      <c r="N163" s="22">
        <v>15</v>
      </c>
      <c r="O163" s="21">
        <v>724</v>
      </c>
      <c r="P163" s="21">
        <v>4100</v>
      </c>
      <c r="Q163" s="21">
        <v>2741</v>
      </c>
      <c r="R163" s="21">
        <v>1359</v>
      </c>
      <c r="S163" s="18">
        <v>0</v>
      </c>
      <c r="T163" s="21">
        <v>0</v>
      </c>
      <c r="U163" s="23">
        <v>3.6</v>
      </c>
    </row>
    <row r="164" spans="1:21" x14ac:dyDescent="0.35">
      <c r="A164" s="12" t="s">
        <v>277</v>
      </c>
      <c r="B164" s="12" t="str">
        <f t="shared" si="2"/>
        <v>May</v>
      </c>
      <c r="C164" s="13">
        <v>45054</v>
      </c>
      <c r="D164" s="14" t="s">
        <v>105</v>
      </c>
      <c r="E164" s="14" t="s">
        <v>59</v>
      </c>
      <c r="F164" s="14" t="s">
        <v>124</v>
      </c>
      <c r="G164" s="14" t="s">
        <v>49</v>
      </c>
      <c r="H164" s="14" t="s">
        <v>64</v>
      </c>
      <c r="I164" s="14" t="s">
        <v>69</v>
      </c>
      <c r="J164" s="14" t="s">
        <v>95</v>
      </c>
      <c r="K164" s="12">
        <v>1</v>
      </c>
      <c r="L164" s="15">
        <v>4202</v>
      </c>
      <c r="M164" s="15">
        <v>4202</v>
      </c>
      <c r="N164" s="16">
        <v>15</v>
      </c>
      <c r="O164" s="15">
        <v>630</v>
      </c>
      <c r="P164" s="15">
        <v>3572</v>
      </c>
      <c r="Q164" s="15">
        <v>1724</v>
      </c>
      <c r="R164" s="15">
        <v>1848</v>
      </c>
      <c r="S164" s="12">
        <v>1</v>
      </c>
      <c r="T164" s="15">
        <v>3572</v>
      </c>
      <c r="U164" s="17">
        <v>3.4</v>
      </c>
    </row>
    <row r="165" spans="1:21" x14ac:dyDescent="0.35">
      <c r="A165" s="18" t="s">
        <v>278</v>
      </c>
      <c r="B165" s="12" t="str">
        <f t="shared" si="2"/>
        <v>May</v>
      </c>
      <c r="C165" s="19">
        <v>45054</v>
      </c>
      <c r="D165" s="20" t="s">
        <v>105</v>
      </c>
      <c r="E165" s="20" t="s">
        <v>52</v>
      </c>
      <c r="F165" s="20" t="s">
        <v>124</v>
      </c>
      <c r="G165" s="20" t="s">
        <v>49</v>
      </c>
      <c r="H165" s="20" t="s">
        <v>66</v>
      </c>
      <c r="I165" s="20" t="s">
        <v>71</v>
      </c>
      <c r="J165" s="20" t="s">
        <v>99</v>
      </c>
      <c r="K165" s="18">
        <v>15</v>
      </c>
      <c r="L165" s="21">
        <v>4856</v>
      </c>
      <c r="M165" s="21">
        <v>72840</v>
      </c>
      <c r="N165" s="22">
        <v>0</v>
      </c>
      <c r="O165" s="21">
        <v>0</v>
      </c>
      <c r="P165" s="21">
        <v>72840</v>
      </c>
      <c r="Q165" s="21">
        <v>33867</v>
      </c>
      <c r="R165" s="21">
        <v>38973</v>
      </c>
      <c r="S165" s="18">
        <v>1</v>
      </c>
      <c r="T165" s="21">
        <v>4856</v>
      </c>
      <c r="U165" s="23">
        <v>4.3</v>
      </c>
    </row>
    <row r="166" spans="1:21" x14ac:dyDescent="0.35">
      <c r="A166" s="12" t="s">
        <v>279</v>
      </c>
      <c r="B166" s="12" t="str">
        <f t="shared" si="2"/>
        <v>May</v>
      </c>
      <c r="C166" s="13">
        <v>45055</v>
      </c>
      <c r="D166" s="14" t="s">
        <v>115</v>
      </c>
      <c r="E166" s="14" t="s">
        <v>56</v>
      </c>
      <c r="F166" s="14" t="s">
        <v>124</v>
      </c>
      <c r="G166" s="14" t="s">
        <v>55</v>
      </c>
      <c r="H166" s="14" t="s">
        <v>66</v>
      </c>
      <c r="I166" s="14" t="s">
        <v>65</v>
      </c>
      <c r="J166" s="14" t="s">
        <v>95</v>
      </c>
      <c r="K166" s="12">
        <v>13</v>
      </c>
      <c r="L166" s="15">
        <v>1895</v>
      </c>
      <c r="M166" s="15">
        <v>24635</v>
      </c>
      <c r="N166" s="16">
        <v>40</v>
      </c>
      <c r="O166" s="15">
        <v>9854</v>
      </c>
      <c r="P166" s="15">
        <v>14781</v>
      </c>
      <c r="Q166" s="15">
        <v>9170</v>
      </c>
      <c r="R166" s="15">
        <v>5611</v>
      </c>
      <c r="S166" s="12">
        <v>0</v>
      </c>
      <c r="T166" s="15">
        <v>0</v>
      </c>
      <c r="U166" s="17">
        <v>3.7</v>
      </c>
    </row>
    <row r="167" spans="1:21" x14ac:dyDescent="0.35">
      <c r="A167" s="18" t="s">
        <v>280</v>
      </c>
      <c r="B167" s="12" t="str">
        <f t="shared" si="2"/>
        <v>May</v>
      </c>
      <c r="C167" s="19">
        <v>45055</v>
      </c>
      <c r="D167" s="20" t="s">
        <v>131</v>
      </c>
      <c r="E167" s="20" t="s">
        <v>48</v>
      </c>
      <c r="F167" s="20" t="s">
        <v>134</v>
      </c>
      <c r="G167" s="20" t="s">
        <v>49</v>
      </c>
      <c r="H167" s="20" t="s">
        <v>68</v>
      </c>
      <c r="I167" s="20" t="s">
        <v>69</v>
      </c>
      <c r="J167" s="20" t="s">
        <v>103</v>
      </c>
      <c r="K167" s="18">
        <v>3</v>
      </c>
      <c r="L167" s="21">
        <v>581</v>
      </c>
      <c r="M167" s="21">
        <v>1743</v>
      </c>
      <c r="N167" s="22">
        <v>20</v>
      </c>
      <c r="O167" s="21">
        <v>349</v>
      </c>
      <c r="P167" s="21">
        <v>1394</v>
      </c>
      <c r="Q167" s="21">
        <v>793</v>
      </c>
      <c r="R167" s="21">
        <v>601</v>
      </c>
      <c r="S167" s="18">
        <v>0</v>
      </c>
      <c r="T167" s="21">
        <v>0</v>
      </c>
      <c r="U167" s="23">
        <v>3.6</v>
      </c>
    </row>
    <row r="168" spans="1:21" x14ac:dyDescent="0.35">
      <c r="A168" s="12" t="s">
        <v>281</v>
      </c>
      <c r="B168" s="12" t="str">
        <f t="shared" si="2"/>
        <v>May</v>
      </c>
      <c r="C168" s="13">
        <v>45056</v>
      </c>
      <c r="D168" s="14" t="s">
        <v>122</v>
      </c>
      <c r="E168" s="14" t="s">
        <v>52</v>
      </c>
      <c r="F168" s="14" t="s">
        <v>124</v>
      </c>
      <c r="G168" s="14" t="s">
        <v>53</v>
      </c>
      <c r="H168" s="14" t="s">
        <v>66</v>
      </c>
      <c r="I168" s="14" t="s">
        <v>71</v>
      </c>
      <c r="J168" s="14" t="s">
        <v>103</v>
      </c>
      <c r="K168" s="12">
        <v>7</v>
      </c>
      <c r="L168" s="15">
        <v>3046</v>
      </c>
      <c r="M168" s="15">
        <v>21322</v>
      </c>
      <c r="N168" s="16">
        <v>0</v>
      </c>
      <c r="O168" s="15">
        <v>0</v>
      </c>
      <c r="P168" s="15">
        <v>21322</v>
      </c>
      <c r="Q168" s="15">
        <v>12322</v>
      </c>
      <c r="R168" s="15">
        <v>9000</v>
      </c>
      <c r="S168" s="12">
        <v>1</v>
      </c>
      <c r="T168" s="15">
        <v>3046</v>
      </c>
      <c r="U168" s="17">
        <v>3.9</v>
      </c>
    </row>
    <row r="169" spans="1:21" x14ac:dyDescent="0.35">
      <c r="A169" s="18" t="s">
        <v>282</v>
      </c>
      <c r="B169" s="12" t="str">
        <f t="shared" si="2"/>
        <v>May</v>
      </c>
      <c r="C169" s="19">
        <v>45057</v>
      </c>
      <c r="D169" s="20" t="s">
        <v>131</v>
      </c>
      <c r="E169" s="20" t="s">
        <v>54</v>
      </c>
      <c r="F169" s="20" t="s">
        <v>94</v>
      </c>
      <c r="G169" s="20" t="s">
        <v>49</v>
      </c>
      <c r="H169" s="20" t="s">
        <v>64</v>
      </c>
      <c r="I169" s="20" t="s">
        <v>65</v>
      </c>
      <c r="J169" s="20" t="s">
        <v>103</v>
      </c>
      <c r="K169" s="18">
        <v>7</v>
      </c>
      <c r="L169" s="21">
        <v>1125</v>
      </c>
      <c r="M169" s="21">
        <v>7875</v>
      </c>
      <c r="N169" s="22">
        <v>30</v>
      </c>
      <c r="O169" s="21">
        <v>2362</v>
      </c>
      <c r="P169" s="21">
        <v>5513</v>
      </c>
      <c r="Q169" s="21">
        <v>3215</v>
      </c>
      <c r="R169" s="21">
        <v>2298</v>
      </c>
      <c r="S169" s="18">
        <v>0</v>
      </c>
      <c r="T169" s="21">
        <v>0</v>
      </c>
      <c r="U169" s="23">
        <v>3.8</v>
      </c>
    </row>
    <row r="170" spans="1:21" x14ac:dyDescent="0.35">
      <c r="A170" s="12" t="s">
        <v>283</v>
      </c>
      <c r="B170" s="12" t="str">
        <f t="shared" si="2"/>
        <v>May</v>
      </c>
      <c r="C170" s="13">
        <v>45058</v>
      </c>
      <c r="D170" s="14" t="s">
        <v>113</v>
      </c>
      <c r="E170" s="14" t="s">
        <v>52</v>
      </c>
      <c r="F170" s="14" t="s">
        <v>111</v>
      </c>
      <c r="G170" s="14" t="s">
        <v>57</v>
      </c>
      <c r="H170" s="14" t="s">
        <v>66</v>
      </c>
      <c r="I170" s="14" t="s">
        <v>71</v>
      </c>
      <c r="J170" s="14" t="s">
        <v>103</v>
      </c>
      <c r="K170" s="12">
        <v>7</v>
      </c>
      <c r="L170" s="15">
        <v>822</v>
      </c>
      <c r="M170" s="15">
        <v>5754</v>
      </c>
      <c r="N170" s="16">
        <v>20</v>
      </c>
      <c r="O170" s="15">
        <v>1151</v>
      </c>
      <c r="P170" s="15">
        <v>4603</v>
      </c>
      <c r="Q170" s="15">
        <v>2345</v>
      </c>
      <c r="R170" s="15">
        <v>2258</v>
      </c>
      <c r="S170" s="12">
        <v>0</v>
      </c>
      <c r="T170" s="15">
        <v>0</v>
      </c>
      <c r="U170" s="17">
        <v>2.6</v>
      </c>
    </row>
    <row r="171" spans="1:21" x14ac:dyDescent="0.35">
      <c r="A171" s="18" t="s">
        <v>284</v>
      </c>
      <c r="B171" s="12" t="str">
        <f t="shared" si="2"/>
        <v>May</v>
      </c>
      <c r="C171" s="19">
        <v>45058</v>
      </c>
      <c r="D171" s="20" t="s">
        <v>93</v>
      </c>
      <c r="E171" s="20" t="s">
        <v>58</v>
      </c>
      <c r="F171" s="20" t="s">
        <v>124</v>
      </c>
      <c r="G171" s="20" t="s">
        <v>55</v>
      </c>
      <c r="H171" s="20" t="s">
        <v>68</v>
      </c>
      <c r="I171" s="20" t="s">
        <v>70</v>
      </c>
      <c r="J171" s="20" t="s">
        <v>103</v>
      </c>
      <c r="K171" s="18">
        <v>13</v>
      </c>
      <c r="L171" s="21">
        <v>1954</v>
      </c>
      <c r="M171" s="21">
        <v>25402</v>
      </c>
      <c r="N171" s="22">
        <v>10</v>
      </c>
      <c r="O171" s="21">
        <v>2540</v>
      </c>
      <c r="P171" s="21">
        <v>22862</v>
      </c>
      <c r="Q171" s="21">
        <v>14405</v>
      </c>
      <c r="R171" s="21">
        <v>8457</v>
      </c>
      <c r="S171" s="18">
        <v>3</v>
      </c>
      <c r="T171" s="21">
        <v>5276</v>
      </c>
      <c r="U171" s="23">
        <v>3</v>
      </c>
    </row>
    <row r="172" spans="1:21" x14ac:dyDescent="0.35">
      <c r="A172" s="12" t="s">
        <v>285</v>
      </c>
      <c r="B172" s="12" t="str">
        <f t="shared" si="2"/>
        <v>May</v>
      </c>
      <c r="C172" s="13">
        <v>45058</v>
      </c>
      <c r="D172" s="14" t="s">
        <v>105</v>
      </c>
      <c r="E172" s="14" t="s">
        <v>52</v>
      </c>
      <c r="F172" s="14" t="s">
        <v>98</v>
      </c>
      <c r="G172" s="14" t="s">
        <v>53</v>
      </c>
      <c r="H172" s="14" t="s">
        <v>64</v>
      </c>
      <c r="I172" s="14" t="s">
        <v>65</v>
      </c>
      <c r="J172" s="14" t="s">
        <v>99</v>
      </c>
      <c r="K172" s="12">
        <v>6</v>
      </c>
      <c r="L172" s="15">
        <v>4980</v>
      </c>
      <c r="M172" s="15">
        <v>29880</v>
      </c>
      <c r="N172" s="16">
        <v>20</v>
      </c>
      <c r="O172" s="15">
        <v>5976</v>
      </c>
      <c r="P172" s="15">
        <v>23904</v>
      </c>
      <c r="Q172" s="15">
        <v>16467</v>
      </c>
      <c r="R172" s="15">
        <v>7437</v>
      </c>
      <c r="S172" s="12">
        <v>1</v>
      </c>
      <c r="T172" s="15">
        <v>3984</v>
      </c>
      <c r="U172" s="17">
        <v>2.9</v>
      </c>
    </row>
    <row r="173" spans="1:21" x14ac:dyDescent="0.35">
      <c r="A173" s="18" t="s">
        <v>286</v>
      </c>
      <c r="B173" s="12" t="str">
        <f t="shared" si="2"/>
        <v>May</v>
      </c>
      <c r="C173" s="19">
        <v>45059</v>
      </c>
      <c r="D173" s="20" t="s">
        <v>101</v>
      </c>
      <c r="E173" s="20" t="s">
        <v>54</v>
      </c>
      <c r="F173" s="20" t="s">
        <v>108</v>
      </c>
      <c r="G173" s="20" t="s">
        <v>57</v>
      </c>
      <c r="H173" s="20" t="s">
        <v>66</v>
      </c>
      <c r="I173" s="20" t="s">
        <v>67</v>
      </c>
      <c r="J173" s="20" t="s">
        <v>103</v>
      </c>
      <c r="K173" s="18">
        <v>1</v>
      </c>
      <c r="L173" s="21">
        <v>2727</v>
      </c>
      <c r="M173" s="21">
        <v>2727</v>
      </c>
      <c r="N173" s="22">
        <v>15</v>
      </c>
      <c r="O173" s="21">
        <v>409</v>
      </c>
      <c r="P173" s="21">
        <v>2318</v>
      </c>
      <c r="Q173" s="21">
        <v>1093</v>
      </c>
      <c r="R173" s="21">
        <v>1225</v>
      </c>
      <c r="S173" s="18">
        <v>1</v>
      </c>
      <c r="T173" s="21">
        <v>2318</v>
      </c>
      <c r="U173" s="23">
        <v>3.7</v>
      </c>
    </row>
    <row r="174" spans="1:21" x14ac:dyDescent="0.35">
      <c r="A174" s="12" t="s">
        <v>287</v>
      </c>
      <c r="B174" s="12" t="str">
        <f t="shared" si="2"/>
        <v>May</v>
      </c>
      <c r="C174" s="13">
        <v>45059</v>
      </c>
      <c r="D174" s="14" t="s">
        <v>142</v>
      </c>
      <c r="E174" s="14" t="s">
        <v>54</v>
      </c>
      <c r="F174" s="14" t="s">
        <v>116</v>
      </c>
      <c r="G174" s="14" t="s">
        <v>51</v>
      </c>
      <c r="H174" s="14" t="s">
        <v>66</v>
      </c>
      <c r="I174" s="14" t="s">
        <v>67</v>
      </c>
      <c r="J174" s="14" t="s">
        <v>99</v>
      </c>
      <c r="K174" s="12">
        <v>8</v>
      </c>
      <c r="L174" s="15">
        <v>2590</v>
      </c>
      <c r="M174" s="15">
        <v>20720</v>
      </c>
      <c r="N174" s="16">
        <v>5</v>
      </c>
      <c r="O174" s="15">
        <v>1036</v>
      </c>
      <c r="P174" s="15">
        <v>19684</v>
      </c>
      <c r="Q174" s="15">
        <v>11197</v>
      </c>
      <c r="R174" s="15">
        <v>8487</v>
      </c>
      <c r="S174" s="12">
        <v>1</v>
      </c>
      <c r="T174" s="15">
        <v>2460</v>
      </c>
      <c r="U174" s="17">
        <v>3.7</v>
      </c>
    </row>
    <row r="175" spans="1:21" x14ac:dyDescent="0.35">
      <c r="A175" s="18" t="s">
        <v>288</v>
      </c>
      <c r="B175" s="12" t="str">
        <f t="shared" si="2"/>
        <v>May</v>
      </c>
      <c r="C175" s="19">
        <v>45060</v>
      </c>
      <c r="D175" s="20" t="s">
        <v>131</v>
      </c>
      <c r="E175" s="20" t="s">
        <v>48</v>
      </c>
      <c r="F175" s="20" t="s">
        <v>134</v>
      </c>
      <c r="G175" s="20" t="s">
        <v>57</v>
      </c>
      <c r="H175" s="20" t="s">
        <v>66</v>
      </c>
      <c r="I175" s="20" t="s">
        <v>65</v>
      </c>
      <c r="J175" s="20" t="s">
        <v>99</v>
      </c>
      <c r="K175" s="18">
        <v>3</v>
      </c>
      <c r="L175" s="21">
        <v>1221</v>
      </c>
      <c r="M175" s="21">
        <v>3663</v>
      </c>
      <c r="N175" s="22">
        <v>15</v>
      </c>
      <c r="O175" s="21">
        <v>549</v>
      </c>
      <c r="P175" s="21">
        <v>3114</v>
      </c>
      <c r="Q175" s="21">
        <v>1697</v>
      </c>
      <c r="R175" s="21">
        <v>1417</v>
      </c>
      <c r="S175" s="18">
        <v>0</v>
      </c>
      <c r="T175" s="21">
        <v>0</v>
      </c>
      <c r="U175" s="23">
        <v>3.7</v>
      </c>
    </row>
    <row r="176" spans="1:21" x14ac:dyDescent="0.35">
      <c r="A176" s="12" t="s">
        <v>289</v>
      </c>
      <c r="B176" s="12" t="str">
        <f t="shared" si="2"/>
        <v>May</v>
      </c>
      <c r="C176" s="13">
        <v>45060</v>
      </c>
      <c r="D176" s="14" t="s">
        <v>93</v>
      </c>
      <c r="E176" s="14" t="s">
        <v>54</v>
      </c>
      <c r="F176" s="14" t="s">
        <v>94</v>
      </c>
      <c r="G176" s="14" t="s">
        <v>57</v>
      </c>
      <c r="H176" s="14" t="s">
        <v>66</v>
      </c>
      <c r="I176" s="14" t="s">
        <v>67</v>
      </c>
      <c r="J176" s="14" t="s">
        <v>99</v>
      </c>
      <c r="K176" s="12">
        <v>1</v>
      </c>
      <c r="L176" s="15">
        <v>2234</v>
      </c>
      <c r="M176" s="15">
        <v>2234</v>
      </c>
      <c r="N176" s="16">
        <v>25</v>
      </c>
      <c r="O176" s="15">
        <v>558</v>
      </c>
      <c r="P176" s="15">
        <v>1676</v>
      </c>
      <c r="Q176" s="15">
        <v>1118</v>
      </c>
      <c r="R176" s="15">
        <v>558</v>
      </c>
      <c r="S176" s="12">
        <v>0</v>
      </c>
      <c r="T176" s="15">
        <v>0</v>
      </c>
      <c r="U176" s="17">
        <v>3.9</v>
      </c>
    </row>
    <row r="177" spans="1:21" x14ac:dyDescent="0.35">
      <c r="A177" s="18" t="s">
        <v>290</v>
      </c>
      <c r="B177" s="12" t="str">
        <f t="shared" si="2"/>
        <v>May</v>
      </c>
      <c r="C177" s="19">
        <v>45062</v>
      </c>
      <c r="D177" s="20" t="s">
        <v>101</v>
      </c>
      <c r="E177" s="20" t="s">
        <v>58</v>
      </c>
      <c r="F177" s="20" t="s">
        <v>151</v>
      </c>
      <c r="G177" s="20" t="s">
        <v>55</v>
      </c>
      <c r="H177" s="20" t="s">
        <v>66</v>
      </c>
      <c r="I177" s="20" t="s">
        <v>69</v>
      </c>
      <c r="J177" s="20" t="s">
        <v>99</v>
      </c>
      <c r="K177" s="18">
        <v>2</v>
      </c>
      <c r="L177" s="21">
        <v>2894</v>
      </c>
      <c r="M177" s="21">
        <v>5788</v>
      </c>
      <c r="N177" s="22">
        <v>25</v>
      </c>
      <c r="O177" s="21">
        <v>1447</v>
      </c>
      <c r="P177" s="21">
        <v>4341</v>
      </c>
      <c r="Q177" s="21">
        <v>2580</v>
      </c>
      <c r="R177" s="21">
        <v>1761</v>
      </c>
      <c r="S177" s="18">
        <v>0</v>
      </c>
      <c r="T177" s="21">
        <v>0</v>
      </c>
      <c r="U177" s="23">
        <v>2.6</v>
      </c>
    </row>
    <row r="178" spans="1:21" x14ac:dyDescent="0.35">
      <c r="A178" s="12" t="s">
        <v>291</v>
      </c>
      <c r="B178" s="12" t="str">
        <f t="shared" si="2"/>
        <v>May</v>
      </c>
      <c r="C178" s="13">
        <v>45062</v>
      </c>
      <c r="D178" s="14" t="s">
        <v>93</v>
      </c>
      <c r="E178" s="14" t="s">
        <v>59</v>
      </c>
      <c r="F178" s="14" t="s">
        <v>98</v>
      </c>
      <c r="G178" s="14" t="s">
        <v>57</v>
      </c>
      <c r="H178" s="14" t="s">
        <v>64</v>
      </c>
      <c r="I178" s="14" t="s">
        <v>67</v>
      </c>
      <c r="J178" s="14" t="s">
        <v>99</v>
      </c>
      <c r="K178" s="12">
        <v>10</v>
      </c>
      <c r="L178" s="15">
        <v>1289</v>
      </c>
      <c r="M178" s="15">
        <v>12890</v>
      </c>
      <c r="N178" s="16">
        <v>25</v>
      </c>
      <c r="O178" s="15">
        <v>3222</v>
      </c>
      <c r="P178" s="15">
        <v>9668</v>
      </c>
      <c r="Q178" s="15">
        <v>4843</v>
      </c>
      <c r="R178" s="15">
        <v>4825</v>
      </c>
      <c r="S178" s="12">
        <v>2</v>
      </c>
      <c r="T178" s="15">
        <v>1934</v>
      </c>
      <c r="U178" s="17">
        <v>4.5999999999999996</v>
      </c>
    </row>
    <row r="179" spans="1:21" x14ac:dyDescent="0.35">
      <c r="A179" s="18" t="s">
        <v>292</v>
      </c>
      <c r="B179" s="12" t="str">
        <f t="shared" si="2"/>
        <v>May</v>
      </c>
      <c r="C179" s="19">
        <v>45062</v>
      </c>
      <c r="D179" s="20" t="s">
        <v>101</v>
      </c>
      <c r="E179" s="20" t="s">
        <v>58</v>
      </c>
      <c r="F179" s="20" t="s">
        <v>98</v>
      </c>
      <c r="G179" s="20" t="s">
        <v>49</v>
      </c>
      <c r="H179" s="20" t="s">
        <v>64</v>
      </c>
      <c r="I179" s="20" t="s">
        <v>67</v>
      </c>
      <c r="J179" s="20" t="s">
        <v>103</v>
      </c>
      <c r="K179" s="18">
        <v>12</v>
      </c>
      <c r="L179" s="21">
        <v>3135</v>
      </c>
      <c r="M179" s="21">
        <v>37620</v>
      </c>
      <c r="N179" s="22">
        <v>15</v>
      </c>
      <c r="O179" s="21">
        <v>5643</v>
      </c>
      <c r="P179" s="21">
        <v>31977</v>
      </c>
      <c r="Q179" s="21">
        <v>21072</v>
      </c>
      <c r="R179" s="21">
        <v>10905</v>
      </c>
      <c r="S179" s="18">
        <v>2</v>
      </c>
      <c r="T179" s="21">
        <v>5330</v>
      </c>
      <c r="U179" s="23">
        <v>2.9</v>
      </c>
    </row>
    <row r="180" spans="1:21" x14ac:dyDescent="0.35">
      <c r="A180" s="12" t="s">
        <v>293</v>
      </c>
      <c r="B180" s="12" t="str">
        <f t="shared" si="2"/>
        <v>May</v>
      </c>
      <c r="C180" s="13">
        <v>45063</v>
      </c>
      <c r="D180" s="14" t="s">
        <v>105</v>
      </c>
      <c r="E180" s="14" t="s">
        <v>52</v>
      </c>
      <c r="F180" s="14" t="s">
        <v>94</v>
      </c>
      <c r="G180" s="14" t="s">
        <v>55</v>
      </c>
      <c r="H180" s="14" t="s">
        <v>66</v>
      </c>
      <c r="I180" s="14" t="s">
        <v>69</v>
      </c>
      <c r="J180" s="14" t="s">
        <v>103</v>
      </c>
      <c r="K180" s="12">
        <v>12</v>
      </c>
      <c r="L180" s="15">
        <v>4717</v>
      </c>
      <c r="M180" s="15">
        <v>56604</v>
      </c>
      <c r="N180" s="16">
        <v>40</v>
      </c>
      <c r="O180" s="15">
        <v>22642</v>
      </c>
      <c r="P180" s="15">
        <v>33962</v>
      </c>
      <c r="Q180" s="15">
        <v>19343</v>
      </c>
      <c r="R180" s="15">
        <v>14619</v>
      </c>
      <c r="S180" s="12">
        <v>3</v>
      </c>
      <c r="T180" s="15">
        <v>8491</v>
      </c>
      <c r="U180" s="17">
        <v>4.5999999999999996</v>
      </c>
    </row>
    <row r="181" spans="1:21" x14ac:dyDescent="0.35">
      <c r="A181" s="18" t="s">
        <v>294</v>
      </c>
      <c r="B181" s="12" t="str">
        <f t="shared" si="2"/>
        <v>May</v>
      </c>
      <c r="C181" s="19">
        <v>45064</v>
      </c>
      <c r="D181" s="20" t="s">
        <v>120</v>
      </c>
      <c r="E181" s="20" t="s">
        <v>50</v>
      </c>
      <c r="F181" s="20" t="s">
        <v>106</v>
      </c>
      <c r="G181" s="20" t="s">
        <v>49</v>
      </c>
      <c r="H181" s="20" t="s">
        <v>64</v>
      </c>
      <c r="I181" s="20" t="s">
        <v>70</v>
      </c>
      <c r="J181" s="20" t="s">
        <v>99</v>
      </c>
      <c r="K181" s="18">
        <v>2</v>
      </c>
      <c r="L181" s="21">
        <v>3292</v>
      </c>
      <c r="M181" s="21">
        <v>6584</v>
      </c>
      <c r="N181" s="22">
        <v>40</v>
      </c>
      <c r="O181" s="21">
        <v>2634</v>
      </c>
      <c r="P181" s="21">
        <v>3950</v>
      </c>
      <c r="Q181" s="21">
        <v>2046</v>
      </c>
      <c r="R181" s="21">
        <v>1904</v>
      </c>
      <c r="S181" s="18">
        <v>1</v>
      </c>
      <c r="T181" s="21">
        <v>1975</v>
      </c>
      <c r="U181" s="23">
        <v>3</v>
      </c>
    </row>
    <row r="182" spans="1:21" x14ac:dyDescent="0.35">
      <c r="A182" s="12" t="s">
        <v>295</v>
      </c>
      <c r="B182" s="12" t="str">
        <f t="shared" si="2"/>
        <v>May</v>
      </c>
      <c r="C182" s="13">
        <v>45066</v>
      </c>
      <c r="D182" s="14" t="s">
        <v>122</v>
      </c>
      <c r="E182" s="14" t="s">
        <v>48</v>
      </c>
      <c r="F182" s="14" t="s">
        <v>102</v>
      </c>
      <c r="G182" s="14" t="s">
        <v>55</v>
      </c>
      <c r="H182" s="14" t="s">
        <v>68</v>
      </c>
      <c r="I182" s="14" t="s">
        <v>69</v>
      </c>
      <c r="J182" s="14" t="s">
        <v>103</v>
      </c>
      <c r="K182" s="12">
        <v>1</v>
      </c>
      <c r="L182" s="15">
        <v>4479</v>
      </c>
      <c r="M182" s="15">
        <v>4479</v>
      </c>
      <c r="N182" s="16">
        <v>25</v>
      </c>
      <c r="O182" s="15">
        <v>1120</v>
      </c>
      <c r="P182" s="15">
        <v>3359</v>
      </c>
      <c r="Q182" s="15">
        <v>2019</v>
      </c>
      <c r="R182" s="15">
        <v>1340</v>
      </c>
      <c r="S182" s="12">
        <v>0</v>
      </c>
      <c r="T182" s="15">
        <v>0</v>
      </c>
      <c r="U182" s="17">
        <v>2.7</v>
      </c>
    </row>
    <row r="183" spans="1:21" x14ac:dyDescent="0.35">
      <c r="A183" s="18" t="s">
        <v>296</v>
      </c>
      <c r="B183" s="12" t="str">
        <f t="shared" si="2"/>
        <v>May</v>
      </c>
      <c r="C183" s="19">
        <v>45066</v>
      </c>
      <c r="D183" s="20" t="s">
        <v>131</v>
      </c>
      <c r="E183" s="20" t="s">
        <v>48</v>
      </c>
      <c r="F183" s="20" t="s">
        <v>124</v>
      </c>
      <c r="G183" s="20" t="s">
        <v>51</v>
      </c>
      <c r="H183" s="20" t="s">
        <v>66</v>
      </c>
      <c r="I183" s="20" t="s">
        <v>71</v>
      </c>
      <c r="J183" s="20" t="s">
        <v>95</v>
      </c>
      <c r="K183" s="18">
        <v>10</v>
      </c>
      <c r="L183" s="21">
        <v>3108</v>
      </c>
      <c r="M183" s="21">
        <v>31080</v>
      </c>
      <c r="N183" s="22">
        <v>30</v>
      </c>
      <c r="O183" s="21">
        <v>9324</v>
      </c>
      <c r="P183" s="21">
        <v>21756</v>
      </c>
      <c r="Q183" s="21">
        <v>12637</v>
      </c>
      <c r="R183" s="21">
        <v>9119</v>
      </c>
      <c r="S183" s="18">
        <v>2</v>
      </c>
      <c r="T183" s="21">
        <v>4351</v>
      </c>
      <c r="U183" s="23">
        <v>3.8</v>
      </c>
    </row>
    <row r="184" spans="1:21" x14ac:dyDescent="0.35">
      <c r="A184" s="12" t="s">
        <v>297</v>
      </c>
      <c r="B184" s="12" t="str">
        <f t="shared" si="2"/>
        <v>May</v>
      </c>
      <c r="C184" s="13">
        <v>45067</v>
      </c>
      <c r="D184" s="14" t="s">
        <v>115</v>
      </c>
      <c r="E184" s="14" t="s">
        <v>48</v>
      </c>
      <c r="F184" s="14" t="s">
        <v>108</v>
      </c>
      <c r="G184" s="14" t="s">
        <v>49</v>
      </c>
      <c r="H184" s="14" t="s">
        <v>66</v>
      </c>
      <c r="I184" s="14" t="s">
        <v>65</v>
      </c>
      <c r="J184" s="14" t="s">
        <v>95</v>
      </c>
      <c r="K184" s="12">
        <v>2</v>
      </c>
      <c r="L184" s="15">
        <v>4614</v>
      </c>
      <c r="M184" s="15">
        <v>9228</v>
      </c>
      <c r="N184" s="16">
        <v>50</v>
      </c>
      <c r="O184" s="15">
        <v>4614</v>
      </c>
      <c r="P184" s="15">
        <v>4614</v>
      </c>
      <c r="Q184" s="15">
        <v>2248</v>
      </c>
      <c r="R184" s="15">
        <v>2366</v>
      </c>
      <c r="S184" s="12">
        <v>0</v>
      </c>
      <c r="T184" s="15">
        <v>0</v>
      </c>
      <c r="U184" s="17">
        <v>4</v>
      </c>
    </row>
    <row r="185" spans="1:21" x14ac:dyDescent="0.35">
      <c r="A185" s="18" t="s">
        <v>298</v>
      </c>
      <c r="B185" s="12" t="str">
        <f t="shared" si="2"/>
        <v>May</v>
      </c>
      <c r="C185" s="19">
        <v>45068</v>
      </c>
      <c r="D185" s="20" t="s">
        <v>122</v>
      </c>
      <c r="E185" s="20" t="s">
        <v>58</v>
      </c>
      <c r="F185" s="20" t="s">
        <v>94</v>
      </c>
      <c r="G185" s="20" t="s">
        <v>51</v>
      </c>
      <c r="H185" s="20" t="s">
        <v>66</v>
      </c>
      <c r="I185" s="20" t="s">
        <v>67</v>
      </c>
      <c r="J185" s="20" t="s">
        <v>99</v>
      </c>
      <c r="K185" s="18">
        <v>8</v>
      </c>
      <c r="L185" s="21">
        <v>2392</v>
      </c>
      <c r="M185" s="21">
        <v>19136</v>
      </c>
      <c r="N185" s="22">
        <v>20</v>
      </c>
      <c r="O185" s="21">
        <v>3827</v>
      </c>
      <c r="P185" s="21">
        <v>15309</v>
      </c>
      <c r="Q185" s="21">
        <v>8753</v>
      </c>
      <c r="R185" s="21">
        <v>6556</v>
      </c>
      <c r="S185" s="18">
        <v>0</v>
      </c>
      <c r="T185" s="21">
        <v>0</v>
      </c>
      <c r="U185" s="23">
        <v>2.9</v>
      </c>
    </row>
    <row r="186" spans="1:21" x14ac:dyDescent="0.35">
      <c r="A186" s="12" t="s">
        <v>299</v>
      </c>
      <c r="B186" s="12" t="str">
        <f t="shared" si="2"/>
        <v>May</v>
      </c>
      <c r="C186" s="13">
        <v>45068</v>
      </c>
      <c r="D186" s="14" t="s">
        <v>122</v>
      </c>
      <c r="E186" s="14" t="s">
        <v>56</v>
      </c>
      <c r="F186" s="14" t="s">
        <v>116</v>
      </c>
      <c r="G186" s="14" t="s">
        <v>51</v>
      </c>
      <c r="H186" s="14" t="s">
        <v>68</v>
      </c>
      <c r="I186" s="14" t="s">
        <v>71</v>
      </c>
      <c r="J186" s="14" t="s">
        <v>103</v>
      </c>
      <c r="K186" s="12">
        <v>8</v>
      </c>
      <c r="L186" s="15">
        <v>1139</v>
      </c>
      <c r="M186" s="15">
        <v>9112</v>
      </c>
      <c r="N186" s="16">
        <v>50</v>
      </c>
      <c r="O186" s="15">
        <v>4556</v>
      </c>
      <c r="P186" s="15">
        <v>4556</v>
      </c>
      <c r="Q186" s="15">
        <v>2682</v>
      </c>
      <c r="R186" s="15">
        <v>1874</v>
      </c>
      <c r="S186" s="12">
        <v>1</v>
      </c>
      <c r="T186" s="15">
        <v>570</v>
      </c>
      <c r="U186" s="17">
        <v>5</v>
      </c>
    </row>
    <row r="187" spans="1:21" x14ac:dyDescent="0.35">
      <c r="A187" s="18" t="s">
        <v>300</v>
      </c>
      <c r="B187" s="12" t="str">
        <f t="shared" si="2"/>
        <v>May</v>
      </c>
      <c r="C187" s="19">
        <v>45069</v>
      </c>
      <c r="D187" s="20" t="s">
        <v>101</v>
      </c>
      <c r="E187" s="20" t="s">
        <v>56</v>
      </c>
      <c r="F187" s="20" t="s">
        <v>124</v>
      </c>
      <c r="G187" s="20" t="s">
        <v>51</v>
      </c>
      <c r="H187" s="20" t="s">
        <v>66</v>
      </c>
      <c r="I187" s="20" t="s">
        <v>70</v>
      </c>
      <c r="J187" s="20" t="s">
        <v>103</v>
      </c>
      <c r="K187" s="18">
        <v>15</v>
      </c>
      <c r="L187" s="21">
        <v>4446</v>
      </c>
      <c r="M187" s="21">
        <v>66690</v>
      </c>
      <c r="N187" s="22">
        <v>40</v>
      </c>
      <c r="O187" s="21">
        <v>26676</v>
      </c>
      <c r="P187" s="21">
        <v>40014</v>
      </c>
      <c r="Q187" s="21">
        <v>20437</v>
      </c>
      <c r="R187" s="21">
        <v>19577</v>
      </c>
      <c r="S187" s="18">
        <v>3</v>
      </c>
      <c r="T187" s="21">
        <v>8003</v>
      </c>
      <c r="U187" s="23">
        <v>4.5</v>
      </c>
    </row>
    <row r="188" spans="1:21" x14ac:dyDescent="0.35">
      <c r="A188" s="12" t="s">
        <v>301</v>
      </c>
      <c r="B188" s="12" t="str">
        <f t="shared" si="2"/>
        <v>May</v>
      </c>
      <c r="C188" s="13">
        <v>45069</v>
      </c>
      <c r="D188" s="14" t="s">
        <v>131</v>
      </c>
      <c r="E188" s="14" t="s">
        <v>50</v>
      </c>
      <c r="F188" s="14" t="s">
        <v>106</v>
      </c>
      <c r="G188" s="14" t="s">
        <v>55</v>
      </c>
      <c r="H188" s="14" t="s">
        <v>66</v>
      </c>
      <c r="I188" s="14" t="s">
        <v>71</v>
      </c>
      <c r="J188" s="14" t="s">
        <v>103</v>
      </c>
      <c r="K188" s="12">
        <v>7</v>
      </c>
      <c r="L188" s="15">
        <v>1880</v>
      </c>
      <c r="M188" s="15">
        <v>13160</v>
      </c>
      <c r="N188" s="16">
        <v>40</v>
      </c>
      <c r="O188" s="15">
        <v>5264</v>
      </c>
      <c r="P188" s="15">
        <v>7896</v>
      </c>
      <c r="Q188" s="15">
        <v>5233</v>
      </c>
      <c r="R188" s="15">
        <v>2663</v>
      </c>
      <c r="S188" s="12">
        <v>0</v>
      </c>
      <c r="T188" s="15">
        <v>0</v>
      </c>
      <c r="U188" s="17">
        <v>3.7</v>
      </c>
    </row>
    <row r="189" spans="1:21" x14ac:dyDescent="0.35">
      <c r="A189" s="18" t="s">
        <v>302</v>
      </c>
      <c r="B189" s="12" t="str">
        <f t="shared" si="2"/>
        <v>May</v>
      </c>
      <c r="C189" s="19">
        <v>45070</v>
      </c>
      <c r="D189" s="20" t="s">
        <v>115</v>
      </c>
      <c r="E189" s="20" t="s">
        <v>50</v>
      </c>
      <c r="F189" s="20" t="s">
        <v>111</v>
      </c>
      <c r="G189" s="20" t="s">
        <v>49</v>
      </c>
      <c r="H189" s="20" t="s">
        <v>66</v>
      </c>
      <c r="I189" s="20" t="s">
        <v>71</v>
      </c>
      <c r="J189" s="20" t="s">
        <v>103</v>
      </c>
      <c r="K189" s="18">
        <v>4</v>
      </c>
      <c r="L189" s="21">
        <v>3341</v>
      </c>
      <c r="M189" s="21">
        <v>13364</v>
      </c>
      <c r="N189" s="22">
        <v>40</v>
      </c>
      <c r="O189" s="21">
        <v>5346</v>
      </c>
      <c r="P189" s="21">
        <v>8018</v>
      </c>
      <c r="Q189" s="21">
        <v>4434</v>
      </c>
      <c r="R189" s="21">
        <v>3584</v>
      </c>
      <c r="S189" s="18">
        <v>1</v>
      </c>
      <c r="T189" s="21">
        <v>2005</v>
      </c>
      <c r="U189" s="23">
        <v>2.7</v>
      </c>
    </row>
    <row r="190" spans="1:21" x14ac:dyDescent="0.35">
      <c r="A190" s="12" t="s">
        <v>303</v>
      </c>
      <c r="B190" s="12" t="str">
        <f t="shared" si="2"/>
        <v>May</v>
      </c>
      <c r="C190" s="13">
        <v>45070</v>
      </c>
      <c r="D190" s="14" t="s">
        <v>142</v>
      </c>
      <c r="E190" s="14" t="s">
        <v>50</v>
      </c>
      <c r="F190" s="14" t="s">
        <v>106</v>
      </c>
      <c r="G190" s="14" t="s">
        <v>57</v>
      </c>
      <c r="H190" s="14" t="s">
        <v>64</v>
      </c>
      <c r="I190" s="14" t="s">
        <v>69</v>
      </c>
      <c r="J190" s="14" t="s">
        <v>103</v>
      </c>
      <c r="K190" s="12">
        <v>13</v>
      </c>
      <c r="L190" s="15">
        <v>2288</v>
      </c>
      <c r="M190" s="15">
        <v>29744</v>
      </c>
      <c r="N190" s="16">
        <v>50</v>
      </c>
      <c r="O190" s="15">
        <v>14872</v>
      </c>
      <c r="P190" s="15">
        <v>14872</v>
      </c>
      <c r="Q190" s="15">
        <v>6813</v>
      </c>
      <c r="R190" s="15">
        <v>8059</v>
      </c>
      <c r="S190" s="12">
        <v>2</v>
      </c>
      <c r="T190" s="15">
        <v>2288</v>
      </c>
      <c r="U190" s="17">
        <v>3.5</v>
      </c>
    </row>
    <row r="191" spans="1:21" x14ac:dyDescent="0.35">
      <c r="A191" s="18" t="s">
        <v>304</v>
      </c>
      <c r="B191" s="12" t="str">
        <f t="shared" si="2"/>
        <v>May</v>
      </c>
      <c r="C191" s="19">
        <v>45070</v>
      </c>
      <c r="D191" s="20" t="s">
        <v>101</v>
      </c>
      <c r="E191" s="20" t="s">
        <v>50</v>
      </c>
      <c r="F191" s="20" t="s">
        <v>111</v>
      </c>
      <c r="G191" s="20" t="s">
        <v>57</v>
      </c>
      <c r="H191" s="20" t="s">
        <v>64</v>
      </c>
      <c r="I191" s="20" t="s">
        <v>71</v>
      </c>
      <c r="J191" s="20" t="s">
        <v>103</v>
      </c>
      <c r="K191" s="18">
        <v>4</v>
      </c>
      <c r="L191" s="21">
        <v>4126</v>
      </c>
      <c r="M191" s="21">
        <v>16504</v>
      </c>
      <c r="N191" s="22">
        <v>20</v>
      </c>
      <c r="O191" s="21">
        <v>3301</v>
      </c>
      <c r="P191" s="21">
        <v>13203</v>
      </c>
      <c r="Q191" s="21">
        <v>8595</v>
      </c>
      <c r="R191" s="21">
        <v>4608</v>
      </c>
      <c r="S191" s="18">
        <v>1</v>
      </c>
      <c r="T191" s="21">
        <v>3301</v>
      </c>
      <c r="U191" s="23">
        <v>4.5999999999999996</v>
      </c>
    </row>
    <row r="192" spans="1:21" x14ac:dyDescent="0.35">
      <c r="A192" s="12" t="s">
        <v>305</v>
      </c>
      <c r="B192" s="12" t="str">
        <f t="shared" si="2"/>
        <v>May</v>
      </c>
      <c r="C192" s="13">
        <v>45070</v>
      </c>
      <c r="D192" s="14" t="s">
        <v>131</v>
      </c>
      <c r="E192" s="14" t="s">
        <v>58</v>
      </c>
      <c r="F192" s="14" t="s">
        <v>151</v>
      </c>
      <c r="G192" s="14" t="s">
        <v>53</v>
      </c>
      <c r="H192" s="14" t="s">
        <v>68</v>
      </c>
      <c r="I192" s="14" t="s">
        <v>71</v>
      </c>
      <c r="J192" s="14" t="s">
        <v>95</v>
      </c>
      <c r="K192" s="12">
        <v>10</v>
      </c>
      <c r="L192" s="15">
        <v>3146</v>
      </c>
      <c r="M192" s="15">
        <v>31460</v>
      </c>
      <c r="N192" s="16">
        <v>10</v>
      </c>
      <c r="O192" s="15">
        <v>3146</v>
      </c>
      <c r="P192" s="15">
        <v>28314</v>
      </c>
      <c r="Q192" s="15">
        <v>16954</v>
      </c>
      <c r="R192" s="15">
        <v>11360</v>
      </c>
      <c r="S192" s="12">
        <v>1</v>
      </c>
      <c r="T192" s="15">
        <v>2831</v>
      </c>
      <c r="U192" s="17">
        <v>4.3</v>
      </c>
    </row>
    <row r="193" spans="1:21" x14ac:dyDescent="0.35">
      <c r="A193" s="18" t="s">
        <v>306</v>
      </c>
      <c r="B193" s="12" t="str">
        <f t="shared" si="2"/>
        <v>May</v>
      </c>
      <c r="C193" s="19">
        <v>45070</v>
      </c>
      <c r="D193" s="20" t="s">
        <v>131</v>
      </c>
      <c r="E193" s="20" t="s">
        <v>50</v>
      </c>
      <c r="F193" s="20" t="s">
        <v>102</v>
      </c>
      <c r="G193" s="20" t="s">
        <v>49</v>
      </c>
      <c r="H193" s="20" t="s">
        <v>66</v>
      </c>
      <c r="I193" s="20" t="s">
        <v>71</v>
      </c>
      <c r="J193" s="20" t="s">
        <v>95</v>
      </c>
      <c r="K193" s="18">
        <v>4</v>
      </c>
      <c r="L193" s="21">
        <v>2520</v>
      </c>
      <c r="M193" s="21">
        <v>10080</v>
      </c>
      <c r="N193" s="22">
        <v>5</v>
      </c>
      <c r="O193" s="21">
        <v>504</v>
      </c>
      <c r="P193" s="21">
        <v>9576</v>
      </c>
      <c r="Q193" s="21">
        <v>5947</v>
      </c>
      <c r="R193" s="21">
        <v>3629</v>
      </c>
      <c r="S193" s="18">
        <v>1</v>
      </c>
      <c r="T193" s="21">
        <v>2394</v>
      </c>
      <c r="U193" s="23">
        <v>4</v>
      </c>
    </row>
    <row r="194" spans="1:21" x14ac:dyDescent="0.35">
      <c r="A194" s="12" t="s">
        <v>307</v>
      </c>
      <c r="B194" s="12" t="str">
        <f t="shared" ref="B194:B257" si="3">TEXT(C194,"MMMM")</f>
        <v>May</v>
      </c>
      <c r="C194" s="13">
        <v>45071</v>
      </c>
      <c r="D194" s="14" t="s">
        <v>93</v>
      </c>
      <c r="E194" s="14" t="s">
        <v>58</v>
      </c>
      <c r="F194" s="14" t="s">
        <v>94</v>
      </c>
      <c r="G194" s="14" t="s">
        <v>57</v>
      </c>
      <c r="H194" s="14" t="s">
        <v>66</v>
      </c>
      <c r="I194" s="14" t="s">
        <v>70</v>
      </c>
      <c r="J194" s="14" t="s">
        <v>103</v>
      </c>
      <c r="K194" s="12">
        <v>2</v>
      </c>
      <c r="L194" s="15">
        <v>2206</v>
      </c>
      <c r="M194" s="15">
        <v>4412</v>
      </c>
      <c r="N194" s="16">
        <v>5</v>
      </c>
      <c r="O194" s="15">
        <v>221</v>
      </c>
      <c r="P194" s="15">
        <v>4191</v>
      </c>
      <c r="Q194" s="15">
        <v>2227</v>
      </c>
      <c r="R194" s="15">
        <v>1964</v>
      </c>
      <c r="S194" s="12">
        <v>0</v>
      </c>
      <c r="T194" s="15">
        <v>0</v>
      </c>
      <c r="U194" s="17">
        <v>4.5</v>
      </c>
    </row>
    <row r="195" spans="1:21" x14ac:dyDescent="0.35">
      <c r="A195" s="18" t="s">
        <v>308</v>
      </c>
      <c r="B195" s="12" t="str">
        <f t="shared" si="3"/>
        <v>May</v>
      </c>
      <c r="C195" s="19">
        <v>45072</v>
      </c>
      <c r="D195" s="20" t="s">
        <v>120</v>
      </c>
      <c r="E195" s="20" t="s">
        <v>52</v>
      </c>
      <c r="F195" s="20" t="s">
        <v>134</v>
      </c>
      <c r="G195" s="20" t="s">
        <v>53</v>
      </c>
      <c r="H195" s="20" t="s">
        <v>64</v>
      </c>
      <c r="I195" s="20" t="s">
        <v>65</v>
      </c>
      <c r="J195" s="20" t="s">
        <v>103</v>
      </c>
      <c r="K195" s="18">
        <v>1</v>
      </c>
      <c r="L195" s="21">
        <v>612</v>
      </c>
      <c r="M195" s="21">
        <v>612</v>
      </c>
      <c r="N195" s="22">
        <v>20</v>
      </c>
      <c r="O195" s="21">
        <v>122</v>
      </c>
      <c r="P195" s="21">
        <v>490</v>
      </c>
      <c r="Q195" s="21">
        <v>302</v>
      </c>
      <c r="R195" s="21">
        <v>188</v>
      </c>
      <c r="S195" s="18">
        <v>1</v>
      </c>
      <c r="T195" s="21">
        <v>490</v>
      </c>
      <c r="U195" s="23">
        <v>4.7</v>
      </c>
    </row>
    <row r="196" spans="1:21" x14ac:dyDescent="0.35">
      <c r="A196" s="12" t="s">
        <v>309</v>
      </c>
      <c r="B196" s="12" t="str">
        <f t="shared" si="3"/>
        <v>May</v>
      </c>
      <c r="C196" s="13">
        <v>45073</v>
      </c>
      <c r="D196" s="14" t="s">
        <v>93</v>
      </c>
      <c r="E196" s="14" t="s">
        <v>48</v>
      </c>
      <c r="F196" s="14" t="s">
        <v>151</v>
      </c>
      <c r="G196" s="14" t="s">
        <v>49</v>
      </c>
      <c r="H196" s="14" t="s">
        <v>68</v>
      </c>
      <c r="I196" s="14" t="s">
        <v>70</v>
      </c>
      <c r="J196" s="14" t="s">
        <v>99</v>
      </c>
      <c r="K196" s="12">
        <v>12</v>
      </c>
      <c r="L196" s="15">
        <v>2018</v>
      </c>
      <c r="M196" s="15">
        <v>24216</v>
      </c>
      <c r="N196" s="16">
        <v>30</v>
      </c>
      <c r="O196" s="15">
        <v>7265</v>
      </c>
      <c r="P196" s="15">
        <v>16951</v>
      </c>
      <c r="Q196" s="15">
        <v>9179</v>
      </c>
      <c r="R196" s="15">
        <v>7772</v>
      </c>
      <c r="S196" s="12">
        <v>3</v>
      </c>
      <c r="T196" s="15">
        <v>4238</v>
      </c>
      <c r="U196" s="17">
        <v>2.6</v>
      </c>
    </row>
    <row r="197" spans="1:21" x14ac:dyDescent="0.35">
      <c r="A197" s="18" t="s">
        <v>310</v>
      </c>
      <c r="B197" s="12" t="str">
        <f t="shared" si="3"/>
        <v>May</v>
      </c>
      <c r="C197" s="19">
        <v>45074</v>
      </c>
      <c r="D197" s="20" t="s">
        <v>105</v>
      </c>
      <c r="E197" s="20" t="s">
        <v>50</v>
      </c>
      <c r="F197" s="20" t="s">
        <v>124</v>
      </c>
      <c r="G197" s="20" t="s">
        <v>49</v>
      </c>
      <c r="H197" s="20" t="s">
        <v>64</v>
      </c>
      <c r="I197" s="20" t="s">
        <v>71</v>
      </c>
      <c r="J197" s="20" t="s">
        <v>95</v>
      </c>
      <c r="K197" s="18">
        <v>12</v>
      </c>
      <c r="L197" s="21">
        <v>1043</v>
      </c>
      <c r="M197" s="21">
        <v>12516</v>
      </c>
      <c r="N197" s="22">
        <v>50</v>
      </c>
      <c r="O197" s="21">
        <v>6258</v>
      </c>
      <c r="P197" s="21">
        <v>6258</v>
      </c>
      <c r="Q197" s="21">
        <v>2837</v>
      </c>
      <c r="R197" s="21">
        <v>3421</v>
      </c>
      <c r="S197" s="18">
        <v>3</v>
      </c>
      <c r="T197" s="21">
        <v>1564</v>
      </c>
      <c r="U197" s="23">
        <v>2.7</v>
      </c>
    </row>
    <row r="198" spans="1:21" x14ac:dyDescent="0.35">
      <c r="A198" s="12" t="s">
        <v>311</v>
      </c>
      <c r="B198" s="12" t="str">
        <f t="shared" si="3"/>
        <v>May</v>
      </c>
      <c r="C198" s="13">
        <v>45074</v>
      </c>
      <c r="D198" s="14" t="s">
        <v>142</v>
      </c>
      <c r="E198" s="14" t="s">
        <v>54</v>
      </c>
      <c r="F198" s="14" t="s">
        <v>108</v>
      </c>
      <c r="G198" s="14" t="s">
        <v>49</v>
      </c>
      <c r="H198" s="14" t="s">
        <v>64</v>
      </c>
      <c r="I198" s="14" t="s">
        <v>71</v>
      </c>
      <c r="J198" s="14" t="s">
        <v>95</v>
      </c>
      <c r="K198" s="12">
        <v>9</v>
      </c>
      <c r="L198" s="15">
        <v>3771</v>
      </c>
      <c r="M198" s="15">
        <v>33939</v>
      </c>
      <c r="N198" s="16">
        <v>0</v>
      </c>
      <c r="O198" s="15">
        <v>0</v>
      </c>
      <c r="P198" s="15">
        <v>33939</v>
      </c>
      <c r="Q198" s="15">
        <v>23021</v>
      </c>
      <c r="R198" s="15">
        <v>10918</v>
      </c>
      <c r="S198" s="12">
        <v>0</v>
      </c>
      <c r="T198" s="15">
        <v>0</v>
      </c>
      <c r="U198" s="17">
        <v>3.5</v>
      </c>
    </row>
    <row r="199" spans="1:21" x14ac:dyDescent="0.35">
      <c r="A199" s="18" t="s">
        <v>312</v>
      </c>
      <c r="B199" s="12" t="str">
        <f t="shared" si="3"/>
        <v>May</v>
      </c>
      <c r="C199" s="19">
        <v>45075</v>
      </c>
      <c r="D199" s="20" t="s">
        <v>105</v>
      </c>
      <c r="E199" s="20" t="s">
        <v>59</v>
      </c>
      <c r="F199" s="20" t="s">
        <v>106</v>
      </c>
      <c r="G199" s="20" t="s">
        <v>49</v>
      </c>
      <c r="H199" s="20" t="s">
        <v>68</v>
      </c>
      <c r="I199" s="20" t="s">
        <v>67</v>
      </c>
      <c r="J199" s="20" t="s">
        <v>99</v>
      </c>
      <c r="K199" s="18">
        <v>11</v>
      </c>
      <c r="L199" s="21">
        <v>4219</v>
      </c>
      <c r="M199" s="21">
        <v>46409</v>
      </c>
      <c r="N199" s="22">
        <v>10</v>
      </c>
      <c r="O199" s="21">
        <v>4641</v>
      </c>
      <c r="P199" s="21">
        <v>41768</v>
      </c>
      <c r="Q199" s="21">
        <v>22661</v>
      </c>
      <c r="R199" s="21">
        <v>19107</v>
      </c>
      <c r="S199" s="18">
        <v>0</v>
      </c>
      <c r="T199" s="21">
        <v>0</v>
      </c>
      <c r="U199" s="23">
        <v>4.2</v>
      </c>
    </row>
    <row r="200" spans="1:21" x14ac:dyDescent="0.35">
      <c r="A200" s="12" t="s">
        <v>313</v>
      </c>
      <c r="B200" s="12" t="str">
        <f t="shared" si="3"/>
        <v>May</v>
      </c>
      <c r="C200" s="13">
        <v>45076</v>
      </c>
      <c r="D200" s="14" t="s">
        <v>93</v>
      </c>
      <c r="E200" s="14" t="s">
        <v>58</v>
      </c>
      <c r="F200" s="14" t="s">
        <v>116</v>
      </c>
      <c r="G200" s="14" t="s">
        <v>51</v>
      </c>
      <c r="H200" s="14" t="s">
        <v>68</v>
      </c>
      <c r="I200" s="14" t="s">
        <v>71</v>
      </c>
      <c r="J200" s="14" t="s">
        <v>103</v>
      </c>
      <c r="K200" s="12">
        <v>2</v>
      </c>
      <c r="L200" s="15">
        <v>4547</v>
      </c>
      <c r="M200" s="15">
        <v>9094</v>
      </c>
      <c r="N200" s="16">
        <v>40</v>
      </c>
      <c r="O200" s="15">
        <v>3638</v>
      </c>
      <c r="P200" s="15">
        <v>5456</v>
      </c>
      <c r="Q200" s="15">
        <v>3637</v>
      </c>
      <c r="R200" s="15">
        <v>1819</v>
      </c>
      <c r="S200" s="12">
        <v>0</v>
      </c>
      <c r="T200" s="15">
        <v>0</v>
      </c>
      <c r="U200" s="17">
        <v>3</v>
      </c>
    </row>
    <row r="201" spans="1:21" x14ac:dyDescent="0.35">
      <c r="A201" s="18" t="s">
        <v>314</v>
      </c>
      <c r="B201" s="12" t="str">
        <f t="shared" si="3"/>
        <v>May</v>
      </c>
      <c r="C201" s="19">
        <v>45077</v>
      </c>
      <c r="D201" s="20" t="s">
        <v>122</v>
      </c>
      <c r="E201" s="20" t="s">
        <v>59</v>
      </c>
      <c r="F201" s="20" t="s">
        <v>94</v>
      </c>
      <c r="G201" s="20" t="s">
        <v>53</v>
      </c>
      <c r="H201" s="20" t="s">
        <v>64</v>
      </c>
      <c r="I201" s="20" t="s">
        <v>69</v>
      </c>
      <c r="J201" s="20" t="s">
        <v>99</v>
      </c>
      <c r="K201" s="18">
        <v>3</v>
      </c>
      <c r="L201" s="21">
        <v>4472</v>
      </c>
      <c r="M201" s="21">
        <v>13416</v>
      </c>
      <c r="N201" s="22">
        <v>10</v>
      </c>
      <c r="O201" s="21">
        <v>1342</v>
      </c>
      <c r="P201" s="21">
        <v>12074</v>
      </c>
      <c r="Q201" s="21">
        <v>7643</v>
      </c>
      <c r="R201" s="21">
        <v>4431</v>
      </c>
      <c r="S201" s="18">
        <v>0</v>
      </c>
      <c r="T201" s="21">
        <v>0</v>
      </c>
      <c r="U201" s="23">
        <v>3.3</v>
      </c>
    </row>
    <row r="202" spans="1:21" x14ac:dyDescent="0.35">
      <c r="A202" s="12" t="s">
        <v>315</v>
      </c>
      <c r="B202" s="12" t="str">
        <f t="shared" si="3"/>
        <v>May</v>
      </c>
      <c r="C202" s="13">
        <v>45077</v>
      </c>
      <c r="D202" s="14" t="s">
        <v>142</v>
      </c>
      <c r="E202" s="14" t="s">
        <v>50</v>
      </c>
      <c r="F202" s="14" t="s">
        <v>111</v>
      </c>
      <c r="G202" s="14" t="s">
        <v>49</v>
      </c>
      <c r="H202" s="14" t="s">
        <v>64</v>
      </c>
      <c r="I202" s="14" t="s">
        <v>70</v>
      </c>
      <c r="J202" s="14" t="s">
        <v>103</v>
      </c>
      <c r="K202" s="12">
        <v>9</v>
      </c>
      <c r="L202" s="15">
        <v>860</v>
      </c>
      <c r="M202" s="15">
        <v>7740</v>
      </c>
      <c r="N202" s="16">
        <v>0</v>
      </c>
      <c r="O202" s="15">
        <v>0</v>
      </c>
      <c r="P202" s="15">
        <v>7740</v>
      </c>
      <c r="Q202" s="15">
        <v>4312</v>
      </c>
      <c r="R202" s="15">
        <v>3428</v>
      </c>
      <c r="S202" s="12">
        <v>2</v>
      </c>
      <c r="T202" s="15">
        <v>1720</v>
      </c>
      <c r="U202" s="17">
        <v>3.2</v>
      </c>
    </row>
    <row r="203" spans="1:21" x14ac:dyDescent="0.35">
      <c r="A203" s="18" t="s">
        <v>316</v>
      </c>
      <c r="B203" s="12" t="str">
        <f t="shared" si="3"/>
        <v>June</v>
      </c>
      <c r="C203" s="19">
        <v>45079</v>
      </c>
      <c r="D203" s="20" t="s">
        <v>131</v>
      </c>
      <c r="E203" s="20" t="s">
        <v>58</v>
      </c>
      <c r="F203" s="20" t="s">
        <v>134</v>
      </c>
      <c r="G203" s="20" t="s">
        <v>57</v>
      </c>
      <c r="H203" s="20" t="s">
        <v>66</v>
      </c>
      <c r="I203" s="20" t="s">
        <v>65</v>
      </c>
      <c r="J203" s="20" t="s">
        <v>95</v>
      </c>
      <c r="K203" s="18">
        <v>8</v>
      </c>
      <c r="L203" s="21">
        <v>2830</v>
      </c>
      <c r="M203" s="21">
        <v>22640</v>
      </c>
      <c r="N203" s="22">
        <v>25</v>
      </c>
      <c r="O203" s="21">
        <v>5660</v>
      </c>
      <c r="P203" s="21">
        <v>16980</v>
      </c>
      <c r="Q203" s="21">
        <v>9052</v>
      </c>
      <c r="R203" s="21">
        <v>7928</v>
      </c>
      <c r="S203" s="18">
        <v>2</v>
      </c>
      <c r="T203" s="21">
        <v>4245</v>
      </c>
      <c r="U203" s="23">
        <v>3.4</v>
      </c>
    </row>
    <row r="204" spans="1:21" x14ac:dyDescent="0.35">
      <c r="A204" s="12" t="s">
        <v>317</v>
      </c>
      <c r="B204" s="12" t="str">
        <f t="shared" si="3"/>
        <v>June</v>
      </c>
      <c r="C204" s="13">
        <v>45079</v>
      </c>
      <c r="D204" s="14" t="s">
        <v>113</v>
      </c>
      <c r="E204" s="14" t="s">
        <v>50</v>
      </c>
      <c r="F204" s="14" t="s">
        <v>102</v>
      </c>
      <c r="G204" s="14" t="s">
        <v>55</v>
      </c>
      <c r="H204" s="14" t="s">
        <v>66</v>
      </c>
      <c r="I204" s="14" t="s">
        <v>65</v>
      </c>
      <c r="J204" s="14" t="s">
        <v>95</v>
      </c>
      <c r="K204" s="12">
        <v>4</v>
      </c>
      <c r="L204" s="15">
        <v>2464</v>
      </c>
      <c r="M204" s="15">
        <v>9856</v>
      </c>
      <c r="N204" s="16">
        <v>10</v>
      </c>
      <c r="O204" s="15">
        <v>986</v>
      </c>
      <c r="P204" s="15">
        <v>8870</v>
      </c>
      <c r="Q204" s="15">
        <v>4603</v>
      </c>
      <c r="R204" s="15">
        <v>4267</v>
      </c>
      <c r="S204" s="12">
        <v>0</v>
      </c>
      <c r="T204" s="15">
        <v>0</v>
      </c>
      <c r="U204" s="17">
        <v>2.6</v>
      </c>
    </row>
    <row r="205" spans="1:21" x14ac:dyDescent="0.35">
      <c r="A205" s="18" t="s">
        <v>318</v>
      </c>
      <c r="B205" s="12" t="str">
        <f t="shared" si="3"/>
        <v>June</v>
      </c>
      <c r="C205" s="19">
        <v>45080</v>
      </c>
      <c r="D205" s="20" t="s">
        <v>115</v>
      </c>
      <c r="E205" s="20" t="s">
        <v>56</v>
      </c>
      <c r="F205" s="20" t="s">
        <v>116</v>
      </c>
      <c r="G205" s="20" t="s">
        <v>53</v>
      </c>
      <c r="H205" s="20" t="s">
        <v>68</v>
      </c>
      <c r="I205" s="20" t="s">
        <v>67</v>
      </c>
      <c r="J205" s="20" t="s">
        <v>95</v>
      </c>
      <c r="K205" s="18">
        <v>7</v>
      </c>
      <c r="L205" s="21">
        <v>4310</v>
      </c>
      <c r="M205" s="21">
        <v>30170</v>
      </c>
      <c r="N205" s="22">
        <v>5</v>
      </c>
      <c r="O205" s="21">
        <v>1508</v>
      </c>
      <c r="P205" s="21">
        <v>28662</v>
      </c>
      <c r="Q205" s="21">
        <v>14598</v>
      </c>
      <c r="R205" s="21">
        <v>14064</v>
      </c>
      <c r="S205" s="18">
        <v>1</v>
      </c>
      <c r="T205" s="21">
        <v>4094</v>
      </c>
      <c r="U205" s="23">
        <v>3.9</v>
      </c>
    </row>
    <row r="206" spans="1:21" x14ac:dyDescent="0.35">
      <c r="A206" s="12" t="s">
        <v>319</v>
      </c>
      <c r="B206" s="12" t="str">
        <f t="shared" si="3"/>
        <v>June</v>
      </c>
      <c r="C206" s="13">
        <v>45080</v>
      </c>
      <c r="D206" s="14" t="s">
        <v>105</v>
      </c>
      <c r="E206" s="14" t="s">
        <v>48</v>
      </c>
      <c r="F206" s="14" t="s">
        <v>94</v>
      </c>
      <c r="G206" s="14" t="s">
        <v>57</v>
      </c>
      <c r="H206" s="14" t="s">
        <v>66</v>
      </c>
      <c r="I206" s="14" t="s">
        <v>71</v>
      </c>
      <c r="J206" s="14" t="s">
        <v>99</v>
      </c>
      <c r="K206" s="12">
        <v>12</v>
      </c>
      <c r="L206" s="15">
        <v>2945</v>
      </c>
      <c r="M206" s="15">
        <v>35340</v>
      </c>
      <c r="N206" s="16">
        <v>40</v>
      </c>
      <c r="O206" s="15">
        <v>14136</v>
      </c>
      <c r="P206" s="15">
        <v>21204</v>
      </c>
      <c r="Q206" s="15">
        <v>13866</v>
      </c>
      <c r="R206" s="15">
        <v>7338</v>
      </c>
      <c r="S206" s="12">
        <v>2</v>
      </c>
      <c r="T206" s="15">
        <v>3534</v>
      </c>
      <c r="U206" s="17">
        <v>3.3</v>
      </c>
    </row>
    <row r="207" spans="1:21" x14ac:dyDescent="0.35">
      <c r="A207" s="18" t="s">
        <v>320</v>
      </c>
      <c r="B207" s="12" t="str">
        <f t="shared" si="3"/>
        <v>June</v>
      </c>
      <c r="C207" s="19">
        <v>45080</v>
      </c>
      <c r="D207" s="20" t="s">
        <v>105</v>
      </c>
      <c r="E207" s="20" t="s">
        <v>58</v>
      </c>
      <c r="F207" s="20" t="s">
        <v>111</v>
      </c>
      <c r="G207" s="20" t="s">
        <v>55</v>
      </c>
      <c r="H207" s="20" t="s">
        <v>64</v>
      </c>
      <c r="I207" s="20" t="s">
        <v>71</v>
      </c>
      <c r="J207" s="20" t="s">
        <v>99</v>
      </c>
      <c r="K207" s="18">
        <v>7</v>
      </c>
      <c r="L207" s="21">
        <v>2918</v>
      </c>
      <c r="M207" s="21">
        <v>20426</v>
      </c>
      <c r="N207" s="22">
        <v>10</v>
      </c>
      <c r="O207" s="21">
        <v>2043</v>
      </c>
      <c r="P207" s="21">
        <v>18383</v>
      </c>
      <c r="Q207" s="21">
        <v>10057</v>
      </c>
      <c r="R207" s="21">
        <v>8326</v>
      </c>
      <c r="S207" s="18">
        <v>1</v>
      </c>
      <c r="T207" s="21">
        <v>2626</v>
      </c>
      <c r="U207" s="23">
        <v>3</v>
      </c>
    </row>
    <row r="208" spans="1:21" x14ac:dyDescent="0.35">
      <c r="A208" s="12" t="s">
        <v>321</v>
      </c>
      <c r="B208" s="12" t="str">
        <f t="shared" si="3"/>
        <v>June</v>
      </c>
      <c r="C208" s="13">
        <v>45080</v>
      </c>
      <c r="D208" s="14" t="s">
        <v>113</v>
      </c>
      <c r="E208" s="14" t="s">
        <v>54</v>
      </c>
      <c r="F208" s="14" t="s">
        <v>94</v>
      </c>
      <c r="G208" s="14" t="s">
        <v>55</v>
      </c>
      <c r="H208" s="14" t="s">
        <v>64</v>
      </c>
      <c r="I208" s="14" t="s">
        <v>65</v>
      </c>
      <c r="J208" s="14" t="s">
        <v>103</v>
      </c>
      <c r="K208" s="12">
        <v>2</v>
      </c>
      <c r="L208" s="15">
        <v>1675</v>
      </c>
      <c r="M208" s="15">
        <v>3350</v>
      </c>
      <c r="N208" s="16">
        <v>10</v>
      </c>
      <c r="O208" s="15">
        <v>335</v>
      </c>
      <c r="P208" s="15">
        <v>3015</v>
      </c>
      <c r="Q208" s="15">
        <v>1449</v>
      </c>
      <c r="R208" s="15">
        <v>1566</v>
      </c>
      <c r="S208" s="12">
        <v>1</v>
      </c>
      <c r="T208" s="15">
        <v>1508</v>
      </c>
      <c r="U208" s="17">
        <v>3.3</v>
      </c>
    </row>
    <row r="209" spans="1:21" x14ac:dyDescent="0.35">
      <c r="A209" s="18" t="s">
        <v>322</v>
      </c>
      <c r="B209" s="12" t="str">
        <f t="shared" si="3"/>
        <v>June</v>
      </c>
      <c r="C209" s="19">
        <v>45084</v>
      </c>
      <c r="D209" s="20" t="s">
        <v>101</v>
      </c>
      <c r="E209" s="20" t="s">
        <v>59</v>
      </c>
      <c r="F209" s="20" t="s">
        <v>106</v>
      </c>
      <c r="G209" s="20" t="s">
        <v>57</v>
      </c>
      <c r="H209" s="20" t="s">
        <v>64</v>
      </c>
      <c r="I209" s="20" t="s">
        <v>65</v>
      </c>
      <c r="J209" s="20" t="s">
        <v>99</v>
      </c>
      <c r="K209" s="18">
        <v>1</v>
      </c>
      <c r="L209" s="21">
        <v>4870</v>
      </c>
      <c r="M209" s="21">
        <v>4870</v>
      </c>
      <c r="N209" s="22">
        <v>10</v>
      </c>
      <c r="O209" s="21">
        <v>487</v>
      </c>
      <c r="P209" s="21">
        <v>4383</v>
      </c>
      <c r="Q209" s="21">
        <v>2752</v>
      </c>
      <c r="R209" s="21">
        <v>1631</v>
      </c>
      <c r="S209" s="18">
        <v>0</v>
      </c>
      <c r="T209" s="21">
        <v>0</v>
      </c>
      <c r="U209" s="23">
        <v>2.6</v>
      </c>
    </row>
    <row r="210" spans="1:21" x14ac:dyDescent="0.35">
      <c r="A210" s="12" t="s">
        <v>323</v>
      </c>
      <c r="B210" s="12" t="str">
        <f t="shared" si="3"/>
        <v>June</v>
      </c>
      <c r="C210" s="13">
        <v>45085</v>
      </c>
      <c r="D210" s="14" t="s">
        <v>142</v>
      </c>
      <c r="E210" s="14" t="s">
        <v>56</v>
      </c>
      <c r="F210" s="14" t="s">
        <v>94</v>
      </c>
      <c r="G210" s="14" t="s">
        <v>51</v>
      </c>
      <c r="H210" s="14" t="s">
        <v>68</v>
      </c>
      <c r="I210" s="14" t="s">
        <v>70</v>
      </c>
      <c r="J210" s="14" t="s">
        <v>95</v>
      </c>
      <c r="K210" s="12">
        <v>9</v>
      </c>
      <c r="L210" s="15">
        <v>3275</v>
      </c>
      <c r="M210" s="15">
        <v>29475</v>
      </c>
      <c r="N210" s="16">
        <v>50</v>
      </c>
      <c r="O210" s="15">
        <v>14738</v>
      </c>
      <c r="P210" s="15">
        <v>14737</v>
      </c>
      <c r="Q210" s="15">
        <v>8510</v>
      </c>
      <c r="R210" s="15">
        <v>6227</v>
      </c>
      <c r="S210" s="12">
        <v>1</v>
      </c>
      <c r="T210" s="15">
        <v>1638</v>
      </c>
      <c r="U210" s="17">
        <v>3.4</v>
      </c>
    </row>
    <row r="211" spans="1:21" x14ac:dyDescent="0.35">
      <c r="A211" s="18" t="s">
        <v>324</v>
      </c>
      <c r="B211" s="12" t="str">
        <f t="shared" si="3"/>
        <v>June</v>
      </c>
      <c r="C211" s="19">
        <v>45085</v>
      </c>
      <c r="D211" s="20" t="s">
        <v>120</v>
      </c>
      <c r="E211" s="20" t="s">
        <v>58</v>
      </c>
      <c r="F211" s="20" t="s">
        <v>94</v>
      </c>
      <c r="G211" s="20" t="s">
        <v>51</v>
      </c>
      <c r="H211" s="20" t="s">
        <v>64</v>
      </c>
      <c r="I211" s="20" t="s">
        <v>71</v>
      </c>
      <c r="J211" s="20" t="s">
        <v>103</v>
      </c>
      <c r="K211" s="18">
        <v>3</v>
      </c>
      <c r="L211" s="21">
        <v>1263</v>
      </c>
      <c r="M211" s="21">
        <v>3789</v>
      </c>
      <c r="N211" s="22">
        <v>0</v>
      </c>
      <c r="O211" s="21">
        <v>0</v>
      </c>
      <c r="P211" s="21">
        <v>3789</v>
      </c>
      <c r="Q211" s="21">
        <v>2140</v>
      </c>
      <c r="R211" s="21">
        <v>1649</v>
      </c>
      <c r="S211" s="18">
        <v>0</v>
      </c>
      <c r="T211" s="21">
        <v>0</v>
      </c>
      <c r="U211" s="23">
        <v>2.5</v>
      </c>
    </row>
    <row r="212" spans="1:21" x14ac:dyDescent="0.35">
      <c r="A212" s="12" t="s">
        <v>325</v>
      </c>
      <c r="B212" s="12" t="str">
        <f t="shared" si="3"/>
        <v>June</v>
      </c>
      <c r="C212" s="13">
        <v>45087</v>
      </c>
      <c r="D212" s="14" t="s">
        <v>120</v>
      </c>
      <c r="E212" s="14" t="s">
        <v>48</v>
      </c>
      <c r="F212" s="14" t="s">
        <v>151</v>
      </c>
      <c r="G212" s="14" t="s">
        <v>49</v>
      </c>
      <c r="H212" s="14" t="s">
        <v>64</v>
      </c>
      <c r="I212" s="14" t="s">
        <v>69</v>
      </c>
      <c r="J212" s="14" t="s">
        <v>99</v>
      </c>
      <c r="K212" s="12">
        <v>2</v>
      </c>
      <c r="L212" s="15">
        <v>2768</v>
      </c>
      <c r="M212" s="15">
        <v>5536</v>
      </c>
      <c r="N212" s="16">
        <v>40</v>
      </c>
      <c r="O212" s="15">
        <v>2214</v>
      </c>
      <c r="P212" s="15">
        <v>3322</v>
      </c>
      <c r="Q212" s="15">
        <v>1787</v>
      </c>
      <c r="R212" s="15">
        <v>1535</v>
      </c>
      <c r="S212" s="12">
        <v>1</v>
      </c>
      <c r="T212" s="15">
        <v>1661</v>
      </c>
      <c r="U212" s="17">
        <v>3.1</v>
      </c>
    </row>
    <row r="213" spans="1:21" x14ac:dyDescent="0.35">
      <c r="A213" s="18" t="s">
        <v>326</v>
      </c>
      <c r="B213" s="12" t="str">
        <f t="shared" si="3"/>
        <v>June</v>
      </c>
      <c r="C213" s="19">
        <v>45088</v>
      </c>
      <c r="D213" s="20" t="s">
        <v>113</v>
      </c>
      <c r="E213" s="20" t="s">
        <v>58</v>
      </c>
      <c r="F213" s="20" t="s">
        <v>124</v>
      </c>
      <c r="G213" s="20" t="s">
        <v>57</v>
      </c>
      <c r="H213" s="20" t="s">
        <v>64</v>
      </c>
      <c r="I213" s="20" t="s">
        <v>67</v>
      </c>
      <c r="J213" s="20" t="s">
        <v>95</v>
      </c>
      <c r="K213" s="18">
        <v>8</v>
      </c>
      <c r="L213" s="21">
        <v>941</v>
      </c>
      <c r="M213" s="21">
        <v>7528</v>
      </c>
      <c r="N213" s="22">
        <v>30</v>
      </c>
      <c r="O213" s="21">
        <v>2258</v>
      </c>
      <c r="P213" s="21">
        <v>5270</v>
      </c>
      <c r="Q213" s="21">
        <v>3641</v>
      </c>
      <c r="R213" s="21">
        <v>1629</v>
      </c>
      <c r="S213" s="18">
        <v>2</v>
      </c>
      <c r="T213" s="21">
        <v>1317</v>
      </c>
      <c r="U213" s="23">
        <v>4.0999999999999996</v>
      </c>
    </row>
    <row r="214" spans="1:21" x14ac:dyDescent="0.35">
      <c r="A214" s="12" t="s">
        <v>327</v>
      </c>
      <c r="B214" s="12" t="str">
        <f t="shared" si="3"/>
        <v>June</v>
      </c>
      <c r="C214" s="13">
        <v>45089</v>
      </c>
      <c r="D214" s="14" t="s">
        <v>105</v>
      </c>
      <c r="E214" s="14" t="s">
        <v>56</v>
      </c>
      <c r="F214" s="14" t="s">
        <v>124</v>
      </c>
      <c r="G214" s="14" t="s">
        <v>57</v>
      </c>
      <c r="H214" s="14" t="s">
        <v>64</v>
      </c>
      <c r="I214" s="14" t="s">
        <v>71</v>
      </c>
      <c r="J214" s="14" t="s">
        <v>95</v>
      </c>
      <c r="K214" s="12">
        <v>4</v>
      </c>
      <c r="L214" s="15">
        <v>3265</v>
      </c>
      <c r="M214" s="15">
        <v>13060</v>
      </c>
      <c r="N214" s="16">
        <v>20</v>
      </c>
      <c r="O214" s="15">
        <v>2612</v>
      </c>
      <c r="P214" s="15">
        <v>10448</v>
      </c>
      <c r="Q214" s="15">
        <v>7307</v>
      </c>
      <c r="R214" s="15">
        <v>3141</v>
      </c>
      <c r="S214" s="12">
        <v>0</v>
      </c>
      <c r="T214" s="15">
        <v>0</v>
      </c>
      <c r="U214" s="17">
        <v>3.6</v>
      </c>
    </row>
    <row r="215" spans="1:21" x14ac:dyDescent="0.35">
      <c r="A215" s="18" t="s">
        <v>328</v>
      </c>
      <c r="B215" s="12" t="str">
        <f t="shared" si="3"/>
        <v>June</v>
      </c>
      <c r="C215" s="19">
        <v>45091</v>
      </c>
      <c r="D215" s="20" t="s">
        <v>113</v>
      </c>
      <c r="E215" s="20" t="s">
        <v>48</v>
      </c>
      <c r="F215" s="20" t="s">
        <v>98</v>
      </c>
      <c r="G215" s="20" t="s">
        <v>49</v>
      </c>
      <c r="H215" s="20" t="s">
        <v>64</v>
      </c>
      <c r="I215" s="20" t="s">
        <v>71</v>
      </c>
      <c r="J215" s="20" t="s">
        <v>103</v>
      </c>
      <c r="K215" s="18">
        <v>1</v>
      </c>
      <c r="L215" s="21">
        <v>3246</v>
      </c>
      <c r="M215" s="21">
        <v>3246</v>
      </c>
      <c r="N215" s="22">
        <v>15</v>
      </c>
      <c r="O215" s="21">
        <v>487</v>
      </c>
      <c r="P215" s="21">
        <v>2759</v>
      </c>
      <c r="Q215" s="21">
        <v>1704</v>
      </c>
      <c r="R215" s="21">
        <v>1055</v>
      </c>
      <c r="S215" s="18">
        <v>0</v>
      </c>
      <c r="T215" s="21">
        <v>0</v>
      </c>
      <c r="U215" s="23">
        <v>4.7</v>
      </c>
    </row>
    <row r="216" spans="1:21" x14ac:dyDescent="0.35">
      <c r="A216" s="12" t="s">
        <v>329</v>
      </c>
      <c r="B216" s="12" t="str">
        <f t="shared" si="3"/>
        <v>June</v>
      </c>
      <c r="C216" s="13">
        <v>45091</v>
      </c>
      <c r="D216" s="14" t="s">
        <v>120</v>
      </c>
      <c r="E216" s="14" t="s">
        <v>52</v>
      </c>
      <c r="F216" s="14" t="s">
        <v>106</v>
      </c>
      <c r="G216" s="14" t="s">
        <v>53</v>
      </c>
      <c r="H216" s="14" t="s">
        <v>68</v>
      </c>
      <c r="I216" s="14" t="s">
        <v>71</v>
      </c>
      <c r="J216" s="14" t="s">
        <v>99</v>
      </c>
      <c r="K216" s="12">
        <v>13</v>
      </c>
      <c r="L216" s="15">
        <v>2372</v>
      </c>
      <c r="M216" s="15">
        <v>30836</v>
      </c>
      <c r="N216" s="16">
        <v>5</v>
      </c>
      <c r="O216" s="15">
        <v>1542</v>
      </c>
      <c r="P216" s="15">
        <v>29294</v>
      </c>
      <c r="Q216" s="15">
        <v>15179</v>
      </c>
      <c r="R216" s="15">
        <v>14115</v>
      </c>
      <c r="S216" s="12">
        <v>1</v>
      </c>
      <c r="T216" s="15">
        <v>2253</v>
      </c>
      <c r="U216" s="17">
        <v>3.2</v>
      </c>
    </row>
    <row r="217" spans="1:21" x14ac:dyDescent="0.35">
      <c r="A217" s="18" t="s">
        <v>330</v>
      </c>
      <c r="B217" s="12" t="str">
        <f t="shared" si="3"/>
        <v>June</v>
      </c>
      <c r="C217" s="19">
        <v>45095</v>
      </c>
      <c r="D217" s="20" t="s">
        <v>131</v>
      </c>
      <c r="E217" s="20" t="s">
        <v>58</v>
      </c>
      <c r="F217" s="20" t="s">
        <v>111</v>
      </c>
      <c r="G217" s="20" t="s">
        <v>57</v>
      </c>
      <c r="H217" s="20" t="s">
        <v>64</v>
      </c>
      <c r="I217" s="20" t="s">
        <v>67</v>
      </c>
      <c r="J217" s="20" t="s">
        <v>95</v>
      </c>
      <c r="K217" s="18">
        <v>3</v>
      </c>
      <c r="L217" s="21">
        <v>2838</v>
      </c>
      <c r="M217" s="21">
        <v>8514</v>
      </c>
      <c r="N217" s="22">
        <v>10</v>
      </c>
      <c r="O217" s="21">
        <v>851</v>
      </c>
      <c r="P217" s="21">
        <v>7663</v>
      </c>
      <c r="Q217" s="21">
        <v>3659</v>
      </c>
      <c r="R217" s="21">
        <v>4004</v>
      </c>
      <c r="S217" s="18">
        <v>0</v>
      </c>
      <c r="T217" s="21">
        <v>0</v>
      </c>
      <c r="U217" s="23">
        <v>2.8</v>
      </c>
    </row>
    <row r="218" spans="1:21" x14ac:dyDescent="0.35">
      <c r="A218" s="12" t="s">
        <v>331</v>
      </c>
      <c r="B218" s="12" t="str">
        <f t="shared" si="3"/>
        <v>June</v>
      </c>
      <c r="C218" s="13">
        <v>45096</v>
      </c>
      <c r="D218" s="14" t="s">
        <v>131</v>
      </c>
      <c r="E218" s="14" t="s">
        <v>56</v>
      </c>
      <c r="F218" s="14" t="s">
        <v>98</v>
      </c>
      <c r="G218" s="14" t="s">
        <v>51</v>
      </c>
      <c r="H218" s="14" t="s">
        <v>68</v>
      </c>
      <c r="I218" s="14" t="s">
        <v>67</v>
      </c>
      <c r="J218" s="14" t="s">
        <v>95</v>
      </c>
      <c r="K218" s="12">
        <v>11</v>
      </c>
      <c r="L218" s="15">
        <v>4460</v>
      </c>
      <c r="M218" s="15">
        <v>49060</v>
      </c>
      <c r="N218" s="16">
        <v>5</v>
      </c>
      <c r="O218" s="15">
        <v>2453</v>
      </c>
      <c r="P218" s="15">
        <v>46607</v>
      </c>
      <c r="Q218" s="15">
        <v>30547</v>
      </c>
      <c r="R218" s="15">
        <v>16060</v>
      </c>
      <c r="S218" s="12">
        <v>2</v>
      </c>
      <c r="T218" s="15">
        <v>8474</v>
      </c>
      <c r="U218" s="17">
        <v>4.0999999999999996</v>
      </c>
    </row>
    <row r="219" spans="1:21" x14ac:dyDescent="0.35">
      <c r="A219" s="18" t="s">
        <v>332</v>
      </c>
      <c r="B219" s="12" t="str">
        <f t="shared" si="3"/>
        <v>June</v>
      </c>
      <c r="C219" s="19">
        <v>45096</v>
      </c>
      <c r="D219" s="20" t="s">
        <v>105</v>
      </c>
      <c r="E219" s="20" t="s">
        <v>52</v>
      </c>
      <c r="F219" s="20" t="s">
        <v>151</v>
      </c>
      <c r="G219" s="20" t="s">
        <v>49</v>
      </c>
      <c r="H219" s="20" t="s">
        <v>66</v>
      </c>
      <c r="I219" s="20" t="s">
        <v>69</v>
      </c>
      <c r="J219" s="20" t="s">
        <v>95</v>
      </c>
      <c r="K219" s="18">
        <v>14</v>
      </c>
      <c r="L219" s="21">
        <v>2998</v>
      </c>
      <c r="M219" s="21">
        <v>41972</v>
      </c>
      <c r="N219" s="22">
        <v>40</v>
      </c>
      <c r="O219" s="21">
        <v>16789</v>
      </c>
      <c r="P219" s="21">
        <v>25183</v>
      </c>
      <c r="Q219" s="21">
        <v>12271</v>
      </c>
      <c r="R219" s="21">
        <v>12912</v>
      </c>
      <c r="S219" s="18">
        <v>0</v>
      </c>
      <c r="T219" s="21">
        <v>0</v>
      </c>
      <c r="U219" s="23">
        <v>4.4000000000000004</v>
      </c>
    </row>
    <row r="220" spans="1:21" x14ac:dyDescent="0.35">
      <c r="A220" s="12" t="s">
        <v>333</v>
      </c>
      <c r="B220" s="12" t="str">
        <f t="shared" si="3"/>
        <v>June</v>
      </c>
      <c r="C220" s="13">
        <v>45096</v>
      </c>
      <c r="D220" s="14" t="s">
        <v>113</v>
      </c>
      <c r="E220" s="14" t="s">
        <v>58</v>
      </c>
      <c r="F220" s="14" t="s">
        <v>94</v>
      </c>
      <c r="G220" s="14" t="s">
        <v>55</v>
      </c>
      <c r="H220" s="14" t="s">
        <v>68</v>
      </c>
      <c r="I220" s="14" t="s">
        <v>69</v>
      </c>
      <c r="J220" s="14" t="s">
        <v>103</v>
      </c>
      <c r="K220" s="12">
        <v>3</v>
      </c>
      <c r="L220" s="15">
        <v>2562</v>
      </c>
      <c r="M220" s="15">
        <v>7686</v>
      </c>
      <c r="N220" s="16">
        <v>40</v>
      </c>
      <c r="O220" s="15">
        <v>3074</v>
      </c>
      <c r="P220" s="15">
        <v>4612</v>
      </c>
      <c r="Q220" s="15">
        <v>3104</v>
      </c>
      <c r="R220" s="15">
        <v>1508</v>
      </c>
      <c r="S220" s="12">
        <v>1</v>
      </c>
      <c r="T220" s="15">
        <v>1537</v>
      </c>
      <c r="U220" s="17">
        <v>3.7</v>
      </c>
    </row>
    <row r="221" spans="1:21" x14ac:dyDescent="0.35">
      <c r="A221" s="18" t="s">
        <v>334</v>
      </c>
      <c r="B221" s="12" t="str">
        <f t="shared" si="3"/>
        <v>June</v>
      </c>
      <c r="C221" s="19">
        <v>45097</v>
      </c>
      <c r="D221" s="20" t="s">
        <v>122</v>
      </c>
      <c r="E221" s="20" t="s">
        <v>58</v>
      </c>
      <c r="F221" s="20" t="s">
        <v>124</v>
      </c>
      <c r="G221" s="20" t="s">
        <v>57</v>
      </c>
      <c r="H221" s="20" t="s">
        <v>68</v>
      </c>
      <c r="I221" s="20" t="s">
        <v>70</v>
      </c>
      <c r="J221" s="20" t="s">
        <v>103</v>
      </c>
      <c r="K221" s="18">
        <v>15</v>
      </c>
      <c r="L221" s="21">
        <v>2722</v>
      </c>
      <c r="M221" s="21">
        <v>40830</v>
      </c>
      <c r="N221" s="22">
        <v>25</v>
      </c>
      <c r="O221" s="21">
        <v>10208</v>
      </c>
      <c r="P221" s="21">
        <v>30622</v>
      </c>
      <c r="Q221" s="21">
        <v>20910</v>
      </c>
      <c r="R221" s="21">
        <v>9712</v>
      </c>
      <c r="S221" s="18">
        <v>2</v>
      </c>
      <c r="T221" s="21">
        <v>4083</v>
      </c>
      <c r="U221" s="23">
        <v>2.9</v>
      </c>
    </row>
    <row r="222" spans="1:21" x14ac:dyDescent="0.35">
      <c r="A222" s="12" t="s">
        <v>335</v>
      </c>
      <c r="B222" s="12" t="str">
        <f t="shared" si="3"/>
        <v>June</v>
      </c>
      <c r="C222" s="13">
        <v>45098</v>
      </c>
      <c r="D222" s="14" t="s">
        <v>122</v>
      </c>
      <c r="E222" s="14" t="s">
        <v>59</v>
      </c>
      <c r="F222" s="14" t="s">
        <v>106</v>
      </c>
      <c r="G222" s="14" t="s">
        <v>53</v>
      </c>
      <c r="H222" s="14" t="s">
        <v>64</v>
      </c>
      <c r="I222" s="14" t="s">
        <v>70</v>
      </c>
      <c r="J222" s="14" t="s">
        <v>95</v>
      </c>
      <c r="K222" s="12">
        <v>1</v>
      </c>
      <c r="L222" s="15">
        <v>516</v>
      </c>
      <c r="M222" s="15">
        <v>516</v>
      </c>
      <c r="N222" s="16">
        <v>40</v>
      </c>
      <c r="O222" s="15">
        <v>206</v>
      </c>
      <c r="P222" s="15">
        <v>310</v>
      </c>
      <c r="Q222" s="15">
        <v>187</v>
      </c>
      <c r="R222" s="15">
        <v>123</v>
      </c>
      <c r="S222" s="12">
        <v>0</v>
      </c>
      <c r="T222" s="15">
        <v>0</v>
      </c>
      <c r="U222" s="17">
        <v>3.6</v>
      </c>
    </row>
    <row r="223" spans="1:21" x14ac:dyDescent="0.35">
      <c r="A223" s="18" t="s">
        <v>336</v>
      </c>
      <c r="B223" s="12" t="str">
        <f t="shared" si="3"/>
        <v>June</v>
      </c>
      <c r="C223" s="19">
        <v>45098</v>
      </c>
      <c r="D223" s="20" t="s">
        <v>142</v>
      </c>
      <c r="E223" s="20" t="s">
        <v>48</v>
      </c>
      <c r="F223" s="20" t="s">
        <v>111</v>
      </c>
      <c r="G223" s="20" t="s">
        <v>51</v>
      </c>
      <c r="H223" s="20" t="s">
        <v>64</v>
      </c>
      <c r="I223" s="20" t="s">
        <v>70</v>
      </c>
      <c r="J223" s="20" t="s">
        <v>103</v>
      </c>
      <c r="K223" s="18">
        <v>1</v>
      </c>
      <c r="L223" s="21">
        <v>2271</v>
      </c>
      <c r="M223" s="21">
        <v>2271</v>
      </c>
      <c r="N223" s="22">
        <v>20</v>
      </c>
      <c r="O223" s="21">
        <v>454</v>
      </c>
      <c r="P223" s="21">
        <v>1817</v>
      </c>
      <c r="Q223" s="21">
        <v>1149</v>
      </c>
      <c r="R223" s="21">
        <v>668</v>
      </c>
      <c r="S223" s="18">
        <v>1</v>
      </c>
      <c r="T223" s="21">
        <v>1817</v>
      </c>
      <c r="U223" s="23">
        <v>3.2</v>
      </c>
    </row>
    <row r="224" spans="1:21" x14ac:dyDescent="0.35">
      <c r="A224" s="12" t="s">
        <v>337</v>
      </c>
      <c r="B224" s="12" t="str">
        <f t="shared" si="3"/>
        <v>June</v>
      </c>
      <c r="C224" s="13">
        <v>45099</v>
      </c>
      <c r="D224" s="14" t="s">
        <v>105</v>
      </c>
      <c r="E224" s="14" t="s">
        <v>58</v>
      </c>
      <c r="F224" s="14" t="s">
        <v>116</v>
      </c>
      <c r="G224" s="14" t="s">
        <v>53</v>
      </c>
      <c r="H224" s="14" t="s">
        <v>68</v>
      </c>
      <c r="I224" s="14" t="s">
        <v>67</v>
      </c>
      <c r="J224" s="14" t="s">
        <v>95</v>
      </c>
      <c r="K224" s="12">
        <v>8</v>
      </c>
      <c r="L224" s="15">
        <v>390</v>
      </c>
      <c r="M224" s="15">
        <v>3120</v>
      </c>
      <c r="N224" s="16">
        <v>50</v>
      </c>
      <c r="O224" s="15">
        <v>1560</v>
      </c>
      <c r="P224" s="15">
        <v>1560</v>
      </c>
      <c r="Q224" s="15">
        <v>722</v>
      </c>
      <c r="R224" s="15">
        <v>838</v>
      </c>
      <c r="S224" s="12">
        <v>1</v>
      </c>
      <c r="T224" s="15">
        <v>195</v>
      </c>
      <c r="U224" s="17">
        <v>3.1</v>
      </c>
    </row>
    <row r="225" spans="1:21" x14ac:dyDescent="0.35">
      <c r="A225" s="18" t="s">
        <v>338</v>
      </c>
      <c r="B225" s="12" t="str">
        <f t="shared" si="3"/>
        <v>June</v>
      </c>
      <c r="C225" s="19">
        <v>45099</v>
      </c>
      <c r="D225" s="20" t="s">
        <v>113</v>
      </c>
      <c r="E225" s="20" t="s">
        <v>58</v>
      </c>
      <c r="F225" s="20" t="s">
        <v>108</v>
      </c>
      <c r="G225" s="20" t="s">
        <v>57</v>
      </c>
      <c r="H225" s="20" t="s">
        <v>66</v>
      </c>
      <c r="I225" s="20" t="s">
        <v>70</v>
      </c>
      <c r="J225" s="20" t="s">
        <v>95</v>
      </c>
      <c r="K225" s="18">
        <v>10</v>
      </c>
      <c r="L225" s="21">
        <v>4323</v>
      </c>
      <c r="M225" s="21">
        <v>43230</v>
      </c>
      <c r="N225" s="22">
        <v>30</v>
      </c>
      <c r="O225" s="21">
        <v>12969</v>
      </c>
      <c r="P225" s="21">
        <v>30261</v>
      </c>
      <c r="Q225" s="21">
        <v>19874</v>
      </c>
      <c r="R225" s="21">
        <v>10387</v>
      </c>
      <c r="S225" s="18">
        <v>2</v>
      </c>
      <c r="T225" s="21">
        <v>6052</v>
      </c>
      <c r="U225" s="23">
        <v>3.3</v>
      </c>
    </row>
    <row r="226" spans="1:21" x14ac:dyDescent="0.35">
      <c r="A226" s="12" t="s">
        <v>339</v>
      </c>
      <c r="B226" s="12" t="str">
        <f t="shared" si="3"/>
        <v>June</v>
      </c>
      <c r="C226" s="13">
        <v>45103</v>
      </c>
      <c r="D226" s="14" t="s">
        <v>93</v>
      </c>
      <c r="E226" s="14" t="s">
        <v>50</v>
      </c>
      <c r="F226" s="14" t="s">
        <v>102</v>
      </c>
      <c r="G226" s="14" t="s">
        <v>53</v>
      </c>
      <c r="H226" s="14" t="s">
        <v>68</v>
      </c>
      <c r="I226" s="14" t="s">
        <v>65</v>
      </c>
      <c r="J226" s="14" t="s">
        <v>99</v>
      </c>
      <c r="K226" s="12">
        <v>5</v>
      </c>
      <c r="L226" s="15">
        <v>1481</v>
      </c>
      <c r="M226" s="15">
        <v>7405</v>
      </c>
      <c r="N226" s="16">
        <v>5</v>
      </c>
      <c r="O226" s="15">
        <v>370</v>
      </c>
      <c r="P226" s="15">
        <v>7035</v>
      </c>
      <c r="Q226" s="15">
        <v>4434</v>
      </c>
      <c r="R226" s="15">
        <v>2601</v>
      </c>
      <c r="S226" s="12">
        <v>1</v>
      </c>
      <c r="T226" s="15">
        <v>1407</v>
      </c>
      <c r="U226" s="17">
        <v>2.8</v>
      </c>
    </row>
    <row r="227" spans="1:21" x14ac:dyDescent="0.35">
      <c r="A227" s="18" t="s">
        <v>340</v>
      </c>
      <c r="B227" s="12" t="str">
        <f t="shared" si="3"/>
        <v>June</v>
      </c>
      <c r="C227" s="19">
        <v>45103</v>
      </c>
      <c r="D227" s="20" t="s">
        <v>97</v>
      </c>
      <c r="E227" s="20" t="s">
        <v>52</v>
      </c>
      <c r="F227" s="20" t="s">
        <v>98</v>
      </c>
      <c r="G227" s="20" t="s">
        <v>57</v>
      </c>
      <c r="H227" s="20" t="s">
        <v>66</v>
      </c>
      <c r="I227" s="20" t="s">
        <v>67</v>
      </c>
      <c r="J227" s="20" t="s">
        <v>95</v>
      </c>
      <c r="K227" s="18">
        <v>1</v>
      </c>
      <c r="L227" s="21">
        <v>1955</v>
      </c>
      <c r="M227" s="21">
        <v>1955</v>
      </c>
      <c r="N227" s="22">
        <v>25</v>
      </c>
      <c r="O227" s="21">
        <v>489</v>
      </c>
      <c r="P227" s="21">
        <v>1466</v>
      </c>
      <c r="Q227" s="21">
        <v>958</v>
      </c>
      <c r="R227" s="21">
        <v>508</v>
      </c>
      <c r="S227" s="18">
        <v>0</v>
      </c>
      <c r="T227" s="21">
        <v>0</v>
      </c>
      <c r="U227" s="23">
        <v>4.5999999999999996</v>
      </c>
    </row>
    <row r="228" spans="1:21" x14ac:dyDescent="0.35">
      <c r="A228" s="12" t="s">
        <v>341</v>
      </c>
      <c r="B228" s="12" t="str">
        <f t="shared" si="3"/>
        <v>June</v>
      </c>
      <c r="C228" s="13">
        <v>45103</v>
      </c>
      <c r="D228" s="14" t="s">
        <v>101</v>
      </c>
      <c r="E228" s="14" t="s">
        <v>56</v>
      </c>
      <c r="F228" s="14" t="s">
        <v>116</v>
      </c>
      <c r="G228" s="14" t="s">
        <v>57</v>
      </c>
      <c r="H228" s="14" t="s">
        <v>68</v>
      </c>
      <c r="I228" s="14" t="s">
        <v>65</v>
      </c>
      <c r="J228" s="14" t="s">
        <v>99</v>
      </c>
      <c r="K228" s="12">
        <v>3</v>
      </c>
      <c r="L228" s="15">
        <v>1708</v>
      </c>
      <c r="M228" s="15">
        <v>5124</v>
      </c>
      <c r="N228" s="16">
        <v>10</v>
      </c>
      <c r="O228" s="15">
        <v>512</v>
      </c>
      <c r="P228" s="15">
        <v>4612</v>
      </c>
      <c r="Q228" s="15">
        <v>2945</v>
      </c>
      <c r="R228" s="15">
        <v>1667</v>
      </c>
      <c r="S228" s="12">
        <v>1</v>
      </c>
      <c r="T228" s="15">
        <v>1537</v>
      </c>
      <c r="U228" s="17">
        <v>3.1</v>
      </c>
    </row>
    <row r="229" spans="1:21" x14ac:dyDescent="0.35">
      <c r="A229" s="18" t="s">
        <v>342</v>
      </c>
      <c r="B229" s="12" t="str">
        <f t="shared" si="3"/>
        <v>June</v>
      </c>
      <c r="C229" s="19">
        <v>45103</v>
      </c>
      <c r="D229" s="20" t="s">
        <v>113</v>
      </c>
      <c r="E229" s="20" t="s">
        <v>50</v>
      </c>
      <c r="F229" s="20" t="s">
        <v>108</v>
      </c>
      <c r="G229" s="20" t="s">
        <v>55</v>
      </c>
      <c r="H229" s="20" t="s">
        <v>66</v>
      </c>
      <c r="I229" s="20" t="s">
        <v>65</v>
      </c>
      <c r="J229" s="20" t="s">
        <v>103</v>
      </c>
      <c r="K229" s="18">
        <v>10</v>
      </c>
      <c r="L229" s="21">
        <v>2522</v>
      </c>
      <c r="M229" s="21">
        <v>25220</v>
      </c>
      <c r="N229" s="22">
        <v>10</v>
      </c>
      <c r="O229" s="21">
        <v>2522</v>
      </c>
      <c r="P229" s="21">
        <v>22698</v>
      </c>
      <c r="Q229" s="21">
        <v>11777</v>
      </c>
      <c r="R229" s="21">
        <v>10921</v>
      </c>
      <c r="S229" s="18">
        <v>0</v>
      </c>
      <c r="T229" s="21">
        <v>0</v>
      </c>
      <c r="U229" s="23">
        <v>4</v>
      </c>
    </row>
    <row r="230" spans="1:21" x14ac:dyDescent="0.35">
      <c r="A230" s="12" t="s">
        <v>343</v>
      </c>
      <c r="B230" s="12" t="str">
        <f t="shared" si="3"/>
        <v>June</v>
      </c>
      <c r="C230" s="13">
        <v>45103</v>
      </c>
      <c r="D230" s="14" t="s">
        <v>93</v>
      </c>
      <c r="E230" s="14" t="s">
        <v>58</v>
      </c>
      <c r="F230" s="14" t="s">
        <v>116</v>
      </c>
      <c r="G230" s="14" t="s">
        <v>51</v>
      </c>
      <c r="H230" s="14" t="s">
        <v>66</v>
      </c>
      <c r="I230" s="14" t="s">
        <v>69</v>
      </c>
      <c r="J230" s="14" t="s">
        <v>103</v>
      </c>
      <c r="K230" s="12">
        <v>4</v>
      </c>
      <c r="L230" s="15">
        <v>2398</v>
      </c>
      <c r="M230" s="15">
        <v>9592</v>
      </c>
      <c r="N230" s="16">
        <v>10</v>
      </c>
      <c r="O230" s="15">
        <v>959</v>
      </c>
      <c r="P230" s="15">
        <v>8633</v>
      </c>
      <c r="Q230" s="15">
        <v>4101</v>
      </c>
      <c r="R230" s="15">
        <v>4532</v>
      </c>
      <c r="S230" s="12">
        <v>1</v>
      </c>
      <c r="T230" s="15">
        <v>2158</v>
      </c>
      <c r="U230" s="17">
        <v>4.5</v>
      </c>
    </row>
    <row r="231" spans="1:21" x14ac:dyDescent="0.35">
      <c r="A231" s="18" t="s">
        <v>344</v>
      </c>
      <c r="B231" s="12" t="str">
        <f t="shared" si="3"/>
        <v>June</v>
      </c>
      <c r="C231" s="19">
        <v>45106</v>
      </c>
      <c r="D231" s="20" t="s">
        <v>93</v>
      </c>
      <c r="E231" s="20" t="s">
        <v>50</v>
      </c>
      <c r="F231" s="20" t="s">
        <v>151</v>
      </c>
      <c r="G231" s="20" t="s">
        <v>53</v>
      </c>
      <c r="H231" s="20" t="s">
        <v>66</v>
      </c>
      <c r="I231" s="20" t="s">
        <v>65</v>
      </c>
      <c r="J231" s="20" t="s">
        <v>99</v>
      </c>
      <c r="K231" s="18">
        <v>11</v>
      </c>
      <c r="L231" s="21">
        <v>4905</v>
      </c>
      <c r="M231" s="21">
        <v>53955</v>
      </c>
      <c r="N231" s="22">
        <v>0</v>
      </c>
      <c r="O231" s="21">
        <v>0</v>
      </c>
      <c r="P231" s="21">
        <v>53955</v>
      </c>
      <c r="Q231" s="21">
        <v>25292</v>
      </c>
      <c r="R231" s="21">
        <v>28663</v>
      </c>
      <c r="S231" s="18">
        <v>2</v>
      </c>
      <c r="T231" s="21">
        <v>9810</v>
      </c>
      <c r="U231" s="23">
        <v>3.5</v>
      </c>
    </row>
    <row r="232" spans="1:21" x14ac:dyDescent="0.35">
      <c r="A232" s="12" t="s">
        <v>345</v>
      </c>
      <c r="B232" s="12" t="str">
        <f t="shared" si="3"/>
        <v>July</v>
      </c>
      <c r="C232" s="13">
        <v>45108</v>
      </c>
      <c r="D232" s="14" t="s">
        <v>120</v>
      </c>
      <c r="E232" s="14" t="s">
        <v>54</v>
      </c>
      <c r="F232" s="14" t="s">
        <v>116</v>
      </c>
      <c r="G232" s="14" t="s">
        <v>49</v>
      </c>
      <c r="H232" s="14" t="s">
        <v>68</v>
      </c>
      <c r="I232" s="14" t="s">
        <v>65</v>
      </c>
      <c r="J232" s="14" t="s">
        <v>99</v>
      </c>
      <c r="K232" s="12">
        <v>10</v>
      </c>
      <c r="L232" s="15">
        <v>1442</v>
      </c>
      <c r="M232" s="15">
        <v>14420</v>
      </c>
      <c r="N232" s="16">
        <v>15</v>
      </c>
      <c r="O232" s="15">
        <v>2163</v>
      </c>
      <c r="P232" s="15">
        <v>12257</v>
      </c>
      <c r="Q232" s="15">
        <v>6435</v>
      </c>
      <c r="R232" s="15">
        <v>5822</v>
      </c>
      <c r="S232" s="12">
        <v>0</v>
      </c>
      <c r="T232" s="15">
        <v>0</v>
      </c>
      <c r="U232" s="17">
        <v>4.0999999999999996</v>
      </c>
    </row>
    <row r="233" spans="1:21" x14ac:dyDescent="0.35">
      <c r="A233" s="18" t="s">
        <v>346</v>
      </c>
      <c r="B233" s="12" t="str">
        <f t="shared" si="3"/>
        <v>July</v>
      </c>
      <c r="C233" s="19">
        <v>45109</v>
      </c>
      <c r="D233" s="20" t="s">
        <v>93</v>
      </c>
      <c r="E233" s="20" t="s">
        <v>50</v>
      </c>
      <c r="F233" s="20" t="s">
        <v>102</v>
      </c>
      <c r="G233" s="20" t="s">
        <v>49</v>
      </c>
      <c r="H233" s="20" t="s">
        <v>66</v>
      </c>
      <c r="I233" s="20" t="s">
        <v>67</v>
      </c>
      <c r="J233" s="20" t="s">
        <v>99</v>
      </c>
      <c r="K233" s="18">
        <v>14</v>
      </c>
      <c r="L233" s="21">
        <v>4955</v>
      </c>
      <c r="M233" s="21">
        <v>69370</v>
      </c>
      <c r="N233" s="22">
        <v>0</v>
      </c>
      <c r="O233" s="21">
        <v>0</v>
      </c>
      <c r="P233" s="21">
        <v>69370</v>
      </c>
      <c r="Q233" s="21">
        <v>47728</v>
      </c>
      <c r="R233" s="21">
        <v>21642</v>
      </c>
      <c r="S233" s="18">
        <v>3</v>
      </c>
      <c r="T233" s="21">
        <v>14865</v>
      </c>
      <c r="U233" s="23">
        <v>3.9</v>
      </c>
    </row>
    <row r="234" spans="1:21" x14ac:dyDescent="0.35">
      <c r="A234" s="12" t="s">
        <v>347</v>
      </c>
      <c r="B234" s="12" t="str">
        <f t="shared" si="3"/>
        <v>July</v>
      </c>
      <c r="C234" s="13">
        <v>45111</v>
      </c>
      <c r="D234" s="14" t="s">
        <v>122</v>
      </c>
      <c r="E234" s="14" t="s">
        <v>54</v>
      </c>
      <c r="F234" s="14" t="s">
        <v>106</v>
      </c>
      <c r="G234" s="14" t="s">
        <v>55</v>
      </c>
      <c r="H234" s="14" t="s">
        <v>66</v>
      </c>
      <c r="I234" s="14" t="s">
        <v>71</v>
      </c>
      <c r="J234" s="14" t="s">
        <v>95</v>
      </c>
      <c r="K234" s="12">
        <v>8</v>
      </c>
      <c r="L234" s="15">
        <v>802</v>
      </c>
      <c r="M234" s="15">
        <v>6416</v>
      </c>
      <c r="N234" s="16">
        <v>20</v>
      </c>
      <c r="O234" s="15">
        <v>1283</v>
      </c>
      <c r="P234" s="15">
        <v>5133</v>
      </c>
      <c r="Q234" s="15">
        <v>2319</v>
      </c>
      <c r="R234" s="15">
        <v>2814</v>
      </c>
      <c r="S234" s="12">
        <v>1</v>
      </c>
      <c r="T234" s="15">
        <v>642</v>
      </c>
      <c r="U234" s="17">
        <v>3.3</v>
      </c>
    </row>
    <row r="235" spans="1:21" x14ac:dyDescent="0.35">
      <c r="A235" s="18" t="s">
        <v>348</v>
      </c>
      <c r="B235" s="12" t="str">
        <f t="shared" si="3"/>
        <v>July</v>
      </c>
      <c r="C235" s="19">
        <v>45111</v>
      </c>
      <c r="D235" s="20" t="s">
        <v>105</v>
      </c>
      <c r="E235" s="20" t="s">
        <v>54</v>
      </c>
      <c r="F235" s="20" t="s">
        <v>111</v>
      </c>
      <c r="G235" s="20" t="s">
        <v>55</v>
      </c>
      <c r="H235" s="20" t="s">
        <v>66</v>
      </c>
      <c r="I235" s="20" t="s">
        <v>65</v>
      </c>
      <c r="J235" s="20" t="s">
        <v>99</v>
      </c>
      <c r="K235" s="18">
        <v>9</v>
      </c>
      <c r="L235" s="21">
        <v>3509</v>
      </c>
      <c r="M235" s="21">
        <v>31581</v>
      </c>
      <c r="N235" s="22">
        <v>40</v>
      </c>
      <c r="O235" s="21">
        <v>12632</v>
      </c>
      <c r="P235" s="21">
        <v>18949</v>
      </c>
      <c r="Q235" s="21">
        <v>13049</v>
      </c>
      <c r="R235" s="21">
        <v>5900</v>
      </c>
      <c r="S235" s="18">
        <v>0</v>
      </c>
      <c r="T235" s="21">
        <v>0</v>
      </c>
      <c r="U235" s="23">
        <v>2.5</v>
      </c>
    </row>
    <row r="236" spans="1:21" x14ac:dyDescent="0.35">
      <c r="A236" s="12" t="s">
        <v>349</v>
      </c>
      <c r="B236" s="12" t="str">
        <f t="shared" si="3"/>
        <v>July</v>
      </c>
      <c r="C236" s="13">
        <v>45112</v>
      </c>
      <c r="D236" s="14" t="s">
        <v>93</v>
      </c>
      <c r="E236" s="14" t="s">
        <v>48</v>
      </c>
      <c r="F236" s="14" t="s">
        <v>106</v>
      </c>
      <c r="G236" s="14" t="s">
        <v>49</v>
      </c>
      <c r="H236" s="14" t="s">
        <v>64</v>
      </c>
      <c r="I236" s="14" t="s">
        <v>70</v>
      </c>
      <c r="J236" s="14" t="s">
        <v>95</v>
      </c>
      <c r="K236" s="12">
        <v>13</v>
      </c>
      <c r="L236" s="15">
        <v>2621</v>
      </c>
      <c r="M236" s="15">
        <v>34073</v>
      </c>
      <c r="N236" s="16">
        <v>25</v>
      </c>
      <c r="O236" s="15">
        <v>8518</v>
      </c>
      <c r="P236" s="15">
        <v>25555</v>
      </c>
      <c r="Q236" s="15">
        <v>15039</v>
      </c>
      <c r="R236" s="15">
        <v>10516</v>
      </c>
      <c r="S236" s="12">
        <v>2</v>
      </c>
      <c r="T236" s="15">
        <v>3932</v>
      </c>
      <c r="U236" s="17">
        <v>3.7</v>
      </c>
    </row>
    <row r="237" spans="1:21" x14ac:dyDescent="0.35">
      <c r="A237" s="18" t="s">
        <v>350</v>
      </c>
      <c r="B237" s="12" t="str">
        <f t="shared" si="3"/>
        <v>July</v>
      </c>
      <c r="C237" s="19">
        <v>45113</v>
      </c>
      <c r="D237" s="20" t="s">
        <v>105</v>
      </c>
      <c r="E237" s="20" t="s">
        <v>58</v>
      </c>
      <c r="F237" s="20" t="s">
        <v>151</v>
      </c>
      <c r="G237" s="20" t="s">
        <v>51</v>
      </c>
      <c r="H237" s="20" t="s">
        <v>68</v>
      </c>
      <c r="I237" s="20" t="s">
        <v>67</v>
      </c>
      <c r="J237" s="20" t="s">
        <v>103</v>
      </c>
      <c r="K237" s="18">
        <v>13</v>
      </c>
      <c r="L237" s="21">
        <v>3212</v>
      </c>
      <c r="M237" s="21">
        <v>41756</v>
      </c>
      <c r="N237" s="22">
        <v>40</v>
      </c>
      <c r="O237" s="21">
        <v>16702</v>
      </c>
      <c r="P237" s="21">
        <v>25054</v>
      </c>
      <c r="Q237" s="21">
        <v>15763</v>
      </c>
      <c r="R237" s="21">
        <v>9291</v>
      </c>
      <c r="S237" s="18">
        <v>2</v>
      </c>
      <c r="T237" s="21">
        <v>3854</v>
      </c>
      <c r="U237" s="23">
        <v>4.3</v>
      </c>
    </row>
    <row r="238" spans="1:21" x14ac:dyDescent="0.35">
      <c r="A238" s="12" t="s">
        <v>351</v>
      </c>
      <c r="B238" s="12" t="str">
        <f t="shared" si="3"/>
        <v>July</v>
      </c>
      <c r="C238" s="13">
        <v>45114</v>
      </c>
      <c r="D238" s="14" t="s">
        <v>120</v>
      </c>
      <c r="E238" s="14" t="s">
        <v>48</v>
      </c>
      <c r="F238" s="14" t="s">
        <v>98</v>
      </c>
      <c r="G238" s="14" t="s">
        <v>57</v>
      </c>
      <c r="H238" s="14" t="s">
        <v>68</v>
      </c>
      <c r="I238" s="14" t="s">
        <v>65</v>
      </c>
      <c r="J238" s="14" t="s">
        <v>95</v>
      </c>
      <c r="K238" s="12">
        <v>9</v>
      </c>
      <c r="L238" s="15">
        <v>2206</v>
      </c>
      <c r="M238" s="15">
        <v>19854</v>
      </c>
      <c r="N238" s="16">
        <v>25</v>
      </c>
      <c r="O238" s="15">
        <v>4964</v>
      </c>
      <c r="P238" s="15">
        <v>14890</v>
      </c>
      <c r="Q238" s="15">
        <v>8513</v>
      </c>
      <c r="R238" s="15">
        <v>6377</v>
      </c>
      <c r="S238" s="12">
        <v>1</v>
      </c>
      <c r="T238" s="15">
        <v>1654</v>
      </c>
      <c r="U238" s="17">
        <v>4.7</v>
      </c>
    </row>
    <row r="239" spans="1:21" x14ac:dyDescent="0.35">
      <c r="A239" s="18" t="s">
        <v>352</v>
      </c>
      <c r="B239" s="12" t="str">
        <f t="shared" si="3"/>
        <v>July</v>
      </c>
      <c r="C239" s="19">
        <v>45114</v>
      </c>
      <c r="D239" s="20" t="s">
        <v>113</v>
      </c>
      <c r="E239" s="20" t="s">
        <v>48</v>
      </c>
      <c r="F239" s="20" t="s">
        <v>94</v>
      </c>
      <c r="G239" s="20" t="s">
        <v>49</v>
      </c>
      <c r="H239" s="20" t="s">
        <v>68</v>
      </c>
      <c r="I239" s="20" t="s">
        <v>67</v>
      </c>
      <c r="J239" s="20" t="s">
        <v>103</v>
      </c>
      <c r="K239" s="18">
        <v>4</v>
      </c>
      <c r="L239" s="21">
        <v>1129</v>
      </c>
      <c r="M239" s="21">
        <v>4516</v>
      </c>
      <c r="N239" s="22">
        <v>0</v>
      </c>
      <c r="O239" s="21">
        <v>0</v>
      </c>
      <c r="P239" s="21">
        <v>4516</v>
      </c>
      <c r="Q239" s="21">
        <v>3125</v>
      </c>
      <c r="R239" s="21">
        <v>1391</v>
      </c>
      <c r="S239" s="18">
        <v>0</v>
      </c>
      <c r="T239" s="21">
        <v>0</v>
      </c>
      <c r="U239" s="23">
        <v>3.2</v>
      </c>
    </row>
    <row r="240" spans="1:21" x14ac:dyDescent="0.35">
      <c r="A240" s="12" t="s">
        <v>353</v>
      </c>
      <c r="B240" s="12" t="str">
        <f t="shared" si="3"/>
        <v>July</v>
      </c>
      <c r="C240" s="13">
        <v>45115</v>
      </c>
      <c r="D240" s="14" t="s">
        <v>101</v>
      </c>
      <c r="E240" s="14" t="s">
        <v>52</v>
      </c>
      <c r="F240" s="14" t="s">
        <v>134</v>
      </c>
      <c r="G240" s="14" t="s">
        <v>57</v>
      </c>
      <c r="H240" s="14" t="s">
        <v>66</v>
      </c>
      <c r="I240" s="14" t="s">
        <v>69</v>
      </c>
      <c r="J240" s="14" t="s">
        <v>95</v>
      </c>
      <c r="K240" s="12">
        <v>5</v>
      </c>
      <c r="L240" s="15">
        <v>807</v>
      </c>
      <c r="M240" s="15">
        <v>4035</v>
      </c>
      <c r="N240" s="16">
        <v>0</v>
      </c>
      <c r="O240" s="15">
        <v>0</v>
      </c>
      <c r="P240" s="15">
        <v>4035</v>
      </c>
      <c r="Q240" s="15">
        <v>2753</v>
      </c>
      <c r="R240" s="15">
        <v>1282</v>
      </c>
      <c r="S240" s="12">
        <v>1</v>
      </c>
      <c r="T240" s="15">
        <v>807</v>
      </c>
      <c r="U240" s="17">
        <v>3.5</v>
      </c>
    </row>
    <row r="241" spans="1:21" x14ac:dyDescent="0.35">
      <c r="A241" s="18" t="s">
        <v>354</v>
      </c>
      <c r="B241" s="12" t="str">
        <f t="shared" si="3"/>
        <v>July</v>
      </c>
      <c r="C241" s="19">
        <v>45115</v>
      </c>
      <c r="D241" s="20" t="s">
        <v>105</v>
      </c>
      <c r="E241" s="20" t="s">
        <v>58</v>
      </c>
      <c r="F241" s="20" t="s">
        <v>151</v>
      </c>
      <c r="G241" s="20" t="s">
        <v>57</v>
      </c>
      <c r="H241" s="20" t="s">
        <v>68</v>
      </c>
      <c r="I241" s="20" t="s">
        <v>71</v>
      </c>
      <c r="J241" s="20" t="s">
        <v>95</v>
      </c>
      <c r="K241" s="18">
        <v>12</v>
      </c>
      <c r="L241" s="21">
        <v>630</v>
      </c>
      <c r="M241" s="21">
        <v>7560</v>
      </c>
      <c r="N241" s="22">
        <v>20</v>
      </c>
      <c r="O241" s="21">
        <v>1512</v>
      </c>
      <c r="P241" s="21">
        <v>6048</v>
      </c>
      <c r="Q241" s="21">
        <v>2839</v>
      </c>
      <c r="R241" s="21">
        <v>3209</v>
      </c>
      <c r="S241" s="18">
        <v>1</v>
      </c>
      <c r="T241" s="21">
        <v>504</v>
      </c>
      <c r="U241" s="23">
        <v>4.9000000000000004</v>
      </c>
    </row>
    <row r="242" spans="1:21" x14ac:dyDescent="0.35">
      <c r="A242" s="12" t="s">
        <v>355</v>
      </c>
      <c r="B242" s="12" t="str">
        <f t="shared" si="3"/>
        <v>July</v>
      </c>
      <c r="C242" s="13">
        <v>45116</v>
      </c>
      <c r="D242" s="14" t="s">
        <v>142</v>
      </c>
      <c r="E242" s="14" t="s">
        <v>54</v>
      </c>
      <c r="F242" s="14" t="s">
        <v>124</v>
      </c>
      <c r="G242" s="14" t="s">
        <v>49</v>
      </c>
      <c r="H242" s="14" t="s">
        <v>66</v>
      </c>
      <c r="I242" s="14" t="s">
        <v>70</v>
      </c>
      <c r="J242" s="14" t="s">
        <v>103</v>
      </c>
      <c r="K242" s="12">
        <v>6</v>
      </c>
      <c r="L242" s="15">
        <v>2170</v>
      </c>
      <c r="M242" s="15">
        <v>13020</v>
      </c>
      <c r="N242" s="16">
        <v>20</v>
      </c>
      <c r="O242" s="15">
        <v>2604</v>
      </c>
      <c r="P242" s="15">
        <v>10416</v>
      </c>
      <c r="Q242" s="15">
        <v>5337</v>
      </c>
      <c r="R242" s="15">
        <v>5079</v>
      </c>
      <c r="S242" s="12">
        <v>0</v>
      </c>
      <c r="T242" s="15">
        <v>0</v>
      </c>
      <c r="U242" s="17">
        <v>2.6</v>
      </c>
    </row>
    <row r="243" spans="1:21" x14ac:dyDescent="0.35">
      <c r="A243" s="18" t="s">
        <v>356</v>
      </c>
      <c r="B243" s="12" t="str">
        <f t="shared" si="3"/>
        <v>July</v>
      </c>
      <c r="C243" s="19">
        <v>45116</v>
      </c>
      <c r="D243" s="20" t="s">
        <v>113</v>
      </c>
      <c r="E243" s="20" t="s">
        <v>48</v>
      </c>
      <c r="F243" s="20" t="s">
        <v>102</v>
      </c>
      <c r="G243" s="20" t="s">
        <v>49</v>
      </c>
      <c r="H243" s="20" t="s">
        <v>68</v>
      </c>
      <c r="I243" s="20" t="s">
        <v>70</v>
      </c>
      <c r="J243" s="20" t="s">
        <v>99</v>
      </c>
      <c r="K243" s="18">
        <v>2</v>
      </c>
      <c r="L243" s="21">
        <v>1556</v>
      </c>
      <c r="M243" s="21">
        <v>3112</v>
      </c>
      <c r="N243" s="22">
        <v>15</v>
      </c>
      <c r="O243" s="21">
        <v>467</v>
      </c>
      <c r="P243" s="21">
        <v>2645</v>
      </c>
      <c r="Q243" s="21">
        <v>1283</v>
      </c>
      <c r="R243" s="21">
        <v>1362</v>
      </c>
      <c r="S243" s="18">
        <v>0</v>
      </c>
      <c r="T243" s="21">
        <v>0</v>
      </c>
      <c r="U243" s="23">
        <v>3.2</v>
      </c>
    </row>
    <row r="244" spans="1:21" x14ac:dyDescent="0.35">
      <c r="A244" s="12" t="s">
        <v>357</v>
      </c>
      <c r="B244" s="12" t="str">
        <f t="shared" si="3"/>
        <v>July</v>
      </c>
      <c r="C244" s="13">
        <v>45118</v>
      </c>
      <c r="D244" s="14" t="s">
        <v>105</v>
      </c>
      <c r="E244" s="14" t="s">
        <v>50</v>
      </c>
      <c r="F244" s="14" t="s">
        <v>102</v>
      </c>
      <c r="G244" s="14" t="s">
        <v>55</v>
      </c>
      <c r="H244" s="14" t="s">
        <v>66</v>
      </c>
      <c r="I244" s="14" t="s">
        <v>70</v>
      </c>
      <c r="J244" s="14" t="s">
        <v>95</v>
      </c>
      <c r="K244" s="12">
        <v>11</v>
      </c>
      <c r="L244" s="15">
        <v>3846</v>
      </c>
      <c r="M244" s="15">
        <v>42306</v>
      </c>
      <c r="N244" s="16">
        <v>5</v>
      </c>
      <c r="O244" s="15">
        <v>2115</v>
      </c>
      <c r="P244" s="15">
        <v>40191</v>
      </c>
      <c r="Q244" s="15">
        <v>23366</v>
      </c>
      <c r="R244" s="15">
        <v>16825</v>
      </c>
      <c r="S244" s="12">
        <v>2</v>
      </c>
      <c r="T244" s="15">
        <v>7307</v>
      </c>
      <c r="U244" s="17">
        <v>4.3</v>
      </c>
    </row>
    <row r="245" spans="1:21" x14ac:dyDescent="0.35">
      <c r="A245" s="18" t="s">
        <v>358</v>
      </c>
      <c r="B245" s="12" t="str">
        <f t="shared" si="3"/>
        <v>July</v>
      </c>
      <c r="C245" s="19">
        <v>45119</v>
      </c>
      <c r="D245" s="20" t="s">
        <v>120</v>
      </c>
      <c r="E245" s="20" t="s">
        <v>59</v>
      </c>
      <c r="F245" s="20" t="s">
        <v>102</v>
      </c>
      <c r="G245" s="20" t="s">
        <v>51</v>
      </c>
      <c r="H245" s="20" t="s">
        <v>66</v>
      </c>
      <c r="I245" s="20" t="s">
        <v>67</v>
      </c>
      <c r="J245" s="20" t="s">
        <v>95</v>
      </c>
      <c r="K245" s="18">
        <v>3</v>
      </c>
      <c r="L245" s="21">
        <v>4965</v>
      </c>
      <c r="M245" s="21">
        <v>14895</v>
      </c>
      <c r="N245" s="22">
        <v>30</v>
      </c>
      <c r="O245" s="21">
        <v>4468</v>
      </c>
      <c r="P245" s="21">
        <v>10427</v>
      </c>
      <c r="Q245" s="21">
        <v>6071</v>
      </c>
      <c r="R245" s="21">
        <v>4356</v>
      </c>
      <c r="S245" s="18">
        <v>0</v>
      </c>
      <c r="T245" s="21">
        <v>0</v>
      </c>
      <c r="U245" s="23">
        <v>4.5999999999999996</v>
      </c>
    </row>
    <row r="246" spans="1:21" x14ac:dyDescent="0.35">
      <c r="A246" s="12" t="s">
        <v>359</v>
      </c>
      <c r="B246" s="12" t="str">
        <f t="shared" si="3"/>
        <v>July</v>
      </c>
      <c r="C246" s="13">
        <v>45121</v>
      </c>
      <c r="D246" s="14" t="s">
        <v>131</v>
      </c>
      <c r="E246" s="14" t="s">
        <v>58</v>
      </c>
      <c r="F246" s="14" t="s">
        <v>94</v>
      </c>
      <c r="G246" s="14" t="s">
        <v>55</v>
      </c>
      <c r="H246" s="14" t="s">
        <v>68</v>
      </c>
      <c r="I246" s="14" t="s">
        <v>65</v>
      </c>
      <c r="J246" s="14" t="s">
        <v>103</v>
      </c>
      <c r="K246" s="12">
        <v>10</v>
      </c>
      <c r="L246" s="15">
        <v>939</v>
      </c>
      <c r="M246" s="15">
        <v>9390</v>
      </c>
      <c r="N246" s="16">
        <v>25</v>
      </c>
      <c r="O246" s="15">
        <v>2348</v>
      </c>
      <c r="P246" s="15">
        <v>7042</v>
      </c>
      <c r="Q246" s="15">
        <v>4231</v>
      </c>
      <c r="R246" s="15">
        <v>2811</v>
      </c>
      <c r="S246" s="12">
        <v>2</v>
      </c>
      <c r="T246" s="15">
        <v>1408</v>
      </c>
      <c r="U246" s="17">
        <v>3</v>
      </c>
    </row>
    <row r="247" spans="1:21" x14ac:dyDescent="0.35">
      <c r="A247" s="18" t="s">
        <v>360</v>
      </c>
      <c r="B247" s="12" t="str">
        <f t="shared" si="3"/>
        <v>July</v>
      </c>
      <c r="C247" s="19">
        <v>45121</v>
      </c>
      <c r="D247" s="20" t="s">
        <v>97</v>
      </c>
      <c r="E247" s="20" t="s">
        <v>56</v>
      </c>
      <c r="F247" s="20" t="s">
        <v>111</v>
      </c>
      <c r="G247" s="20" t="s">
        <v>49</v>
      </c>
      <c r="H247" s="20" t="s">
        <v>66</v>
      </c>
      <c r="I247" s="20" t="s">
        <v>67</v>
      </c>
      <c r="J247" s="20" t="s">
        <v>103</v>
      </c>
      <c r="K247" s="18">
        <v>4</v>
      </c>
      <c r="L247" s="21">
        <v>1806</v>
      </c>
      <c r="M247" s="21">
        <v>7224</v>
      </c>
      <c r="N247" s="22">
        <v>5</v>
      </c>
      <c r="O247" s="21">
        <v>361</v>
      </c>
      <c r="P247" s="21">
        <v>6863</v>
      </c>
      <c r="Q247" s="21">
        <v>4218</v>
      </c>
      <c r="R247" s="21">
        <v>2645</v>
      </c>
      <c r="S247" s="18">
        <v>1</v>
      </c>
      <c r="T247" s="21">
        <v>1716</v>
      </c>
      <c r="U247" s="23">
        <v>3</v>
      </c>
    </row>
    <row r="248" spans="1:21" x14ac:dyDescent="0.35">
      <c r="A248" s="12" t="s">
        <v>361</v>
      </c>
      <c r="B248" s="12" t="str">
        <f t="shared" si="3"/>
        <v>July</v>
      </c>
      <c r="C248" s="13">
        <v>45122</v>
      </c>
      <c r="D248" s="14" t="s">
        <v>115</v>
      </c>
      <c r="E248" s="14" t="s">
        <v>58</v>
      </c>
      <c r="F248" s="14" t="s">
        <v>151</v>
      </c>
      <c r="G248" s="14" t="s">
        <v>55</v>
      </c>
      <c r="H248" s="14" t="s">
        <v>64</v>
      </c>
      <c r="I248" s="14" t="s">
        <v>70</v>
      </c>
      <c r="J248" s="14" t="s">
        <v>99</v>
      </c>
      <c r="K248" s="12">
        <v>6</v>
      </c>
      <c r="L248" s="15">
        <v>1733</v>
      </c>
      <c r="M248" s="15">
        <v>10398</v>
      </c>
      <c r="N248" s="16">
        <v>15</v>
      </c>
      <c r="O248" s="15">
        <v>1560</v>
      </c>
      <c r="P248" s="15">
        <v>8838</v>
      </c>
      <c r="Q248" s="15">
        <v>4470</v>
      </c>
      <c r="R248" s="15">
        <v>4368</v>
      </c>
      <c r="S248" s="12">
        <v>0</v>
      </c>
      <c r="T248" s="15">
        <v>0</v>
      </c>
      <c r="U248" s="17">
        <v>3.5</v>
      </c>
    </row>
    <row r="249" spans="1:21" x14ac:dyDescent="0.35">
      <c r="A249" s="18" t="s">
        <v>362</v>
      </c>
      <c r="B249" s="12" t="str">
        <f t="shared" si="3"/>
        <v>July</v>
      </c>
      <c r="C249" s="19">
        <v>45122</v>
      </c>
      <c r="D249" s="20" t="s">
        <v>142</v>
      </c>
      <c r="E249" s="20" t="s">
        <v>58</v>
      </c>
      <c r="F249" s="20" t="s">
        <v>111</v>
      </c>
      <c r="G249" s="20" t="s">
        <v>51</v>
      </c>
      <c r="H249" s="20" t="s">
        <v>64</v>
      </c>
      <c r="I249" s="20" t="s">
        <v>71</v>
      </c>
      <c r="J249" s="20" t="s">
        <v>103</v>
      </c>
      <c r="K249" s="18">
        <v>1</v>
      </c>
      <c r="L249" s="21">
        <v>3168</v>
      </c>
      <c r="M249" s="21">
        <v>3168</v>
      </c>
      <c r="N249" s="22">
        <v>10</v>
      </c>
      <c r="O249" s="21">
        <v>317</v>
      </c>
      <c r="P249" s="21">
        <v>2851</v>
      </c>
      <c r="Q249" s="21">
        <v>1597</v>
      </c>
      <c r="R249" s="21">
        <v>1254</v>
      </c>
      <c r="S249" s="18">
        <v>0</v>
      </c>
      <c r="T249" s="21">
        <v>0</v>
      </c>
      <c r="U249" s="23">
        <v>4.0999999999999996</v>
      </c>
    </row>
    <row r="250" spans="1:21" x14ac:dyDescent="0.35">
      <c r="A250" s="12" t="s">
        <v>363</v>
      </c>
      <c r="B250" s="12" t="str">
        <f t="shared" si="3"/>
        <v>July</v>
      </c>
      <c r="C250" s="13">
        <v>45123</v>
      </c>
      <c r="D250" s="14" t="s">
        <v>122</v>
      </c>
      <c r="E250" s="14" t="s">
        <v>56</v>
      </c>
      <c r="F250" s="14" t="s">
        <v>111</v>
      </c>
      <c r="G250" s="14" t="s">
        <v>51</v>
      </c>
      <c r="H250" s="14" t="s">
        <v>64</v>
      </c>
      <c r="I250" s="14" t="s">
        <v>65</v>
      </c>
      <c r="J250" s="14" t="s">
        <v>99</v>
      </c>
      <c r="K250" s="12">
        <v>6</v>
      </c>
      <c r="L250" s="15">
        <v>2849</v>
      </c>
      <c r="M250" s="15">
        <v>17094</v>
      </c>
      <c r="N250" s="16">
        <v>30</v>
      </c>
      <c r="O250" s="15">
        <v>5128</v>
      </c>
      <c r="P250" s="15">
        <v>11966</v>
      </c>
      <c r="Q250" s="15">
        <v>5571</v>
      </c>
      <c r="R250" s="15">
        <v>6395</v>
      </c>
      <c r="S250" s="12">
        <v>1</v>
      </c>
      <c r="T250" s="15">
        <v>1994</v>
      </c>
      <c r="U250" s="17">
        <v>3.5</v>
      </c>
    </row>
    <row r="251" spans="1:21" x14ac:dyDescent="0.35">
      <c r="A251" s="18" t="s">
        <v>364</v>
      </c>
      <c r="B251" s="12" t="str">
        <f t="shared" si="3"/>
        <v>July</v>
      </c>
      <c r="C251" s="19">
        <v>45123</v>
      </c>
      <c r="D251" s="20" t="s">
        <v>115</v>
      </c>
      <c r="E251" s="20" t="s">
        <v>52</v>
      </c>
      <c r="F251" s="20" t="s">
        <v>134</v>
      </c>
      <c r="G251" s="20" t="s">
        <v>57</v>
      </c>
      <c r="H251" s="20" t="s">
        <v>66</v>
      </c>
      <c r="I251" s="20" t="s">
        <v>70</v>
      </c>
      <c r="J251" s="20" t="s">
        <v>95</v>
      </c>
      <c r="K251" s="18">
        <v>5</v>
      </c>
      <c r="L251" s="21">
        <v>3931</v>
      </c>
      <c r="M251" s="21">
        <v>19655</v>
      </c>
      <c r="N251" s="22">
        <v>30</v>
      </c>
      <c r="O251" s="21">
        <v>5896</v>
      </c>
      <c r="P251" s="21">
        <v>13759</v>
      </c>
      <c r="Q251" s="21">
        <v>7361</v>
      </c>
      <c r="R251" s="21">
        <v>6398</v>
      </c>
      <c r="S251" s="18">
        <v>1</v>
      </c>
      <c r="T251" s="21">
        <v>2752</v>
      </c>
      <c r="U251" s="23">
        <v>4.5999999999999996</v>
      </c>
    </row>
    <row r="252" spans="1:21" x14ac:dyDescent="0.35">
      <c r="A252" s="12" t="s">
        <v>365</v>
      </c>
      <c r="B252" s="12" t="str">
        <f t="shared" si="3"/>
        <v>July</v>
      </c>
      <c r="C252" s="13">
        <v>45123</v>
      </c>
      <c r="D252" s="14" t="s">
        <v>120</v>
      </c>
      <c r="E252" s="14" t="s">
        <v>50</v>
      </c>
      <c r="F252" s="14" t="s">
        <v>134</v>
      </c>
      <c r="G252" s="14" t="s">
        <v>57</v>
      </c>
      <c r="H252" s="14" t="s">
        <v>66</v>
      </c>
      <c r="I252" s="14" t="s">
        <v>69</v>
      </c>
      <c r="J252" s="14" t="s">
        <v>99</v>
      </c>
      <c r="K252" s="12">
        <v>15</v>
      </c>
      <c r="L252" s="15">
        <v>4105</v>
      </c>
      <c r="M252" s="15">
        <v>61575</v>
      </c>
      <c r="N252" s="16">
        <v>15</v>
      </c>
      <c r="O252" s="15">
        <v>9236</v>
      </c>
      <c r="P252" s="15">
        <v>52339</v>
      </c>
      <c r="Q252" s="15">
        <v>27760</v>
      </c>
      <c r="R252" s="15">
        <v>24579</v>
      </c>
      <c r="S252" s="12">
        <v>3</v>
      </c>
      <c r="T252" s="15">
        <v>10468</v>
      </c>
      <c r="U252" s="17">
        <v>3.8</v>
      </c>
    </row>
    <row r="253" spans="1:21" x14ac:dyDescent="0.35">
      <c r="A253" s="18" t="s">
        <v>366</v>
      </c>
      <c r="B253" s="12" t="str">
        <f t="shared" si="3"/>
        <v>July</v>
      </c>
      <c r="C253" s="19">
        <v>45123</v>
      </c>
      <c r="D253" s="20" t="s">
        <v>142</v>
      </c>
      <c r="E253" s="20" t="s">
        <v>50</v>
      </c>
      <c r="F253" s="20" t="s">
        <v>111</v>
      </c>
      <c r="G253" s="20" t="s">
        <v>55</v>
      </c>
      <c r="H253" s="20" t="s">
        <v>66</v>
      </c>
      <c r="I253" s="20" t="s">
        <v>71</v>
      </c>
      <c r="J253" s="20" t="s">
        <v>103</v>
      </c>
      <c r="K253" s="18">
        <v>15</v>
      </c>
      <c r="L253" s="21">
        <v>3332</v>
      </c>
      <c r="M253" s="21">
        <v>49980</v>
      </c>
      <c r="N253" s="22">
        <v>10</v>
      </c>
      <c r="O253" s="21">
        <v>4998</v>
      </c>
      <c r="P253" s="21">
        <v>44982</v>
      </c>
      <c r="Q253" s="21">
        <v>26482</v>
      </c>
      <c r="R253" s="21">
        <v>18500</v>
      </c>
      <c r="S253" s="18">
        <v>3</v>
      </c>
      <c r="T253" s="21">
        <v>8996</v>
      </c>
      <c r="U253" s="23">
        <v>3.2</v>
      </c>
    </row>
    <row r="254" spans="1:21" x14ac:dyDescent="0.35">
      <c r="A254" s="12" t="s">
        <v>367</v>
      </c>
      <c r="B254" s="12" t="str">
        <f t="shared" si="3"/>
        <v>July</v>
      </c>
      <c r="C254" s="13">
        <v>45123</v>
      </c>
      <c r="D254" s="14" t="s">
        <v>131</v>
      </c>
      <c r="E254" s="14" t="s">
        <v>52</v>
      </c>
      <c r="F254" s="14" t="s">
        <v>116</v>
      </c>
      <c r="G254" s="14" t="s">
        <v>51</v>
      </c>
      <c r="H254" s="14" t="s">
        <v>66</v>
      </c>
      <c r="I254" s="14" t="s">
        <v>71</v>
      </c>
      <c r="J254" s="14" t="s">
        <v>95</v>
      </c>
      <c r="K254" s="12">
        <v>11</v>
      </c>
      <c r="L254" s="15">
        <v>4971</v>
      </c>
      <c r="M254" s="15">
        <v>54681</v>
      </c>
      <c r="N254" s="16">
        <v>50</v>
      </c>
      <c r="O254" s="15">
        <v>27340</v>
      </c>
      <c r="P254" s="15">
        <v>27341</v>
      </c>
      <c r="Q254" s="15">
        <v>17736</v>
      </c>
      <c r="R254" s="15">
        <v>9605</v>
      </c>
      <c r="S254" s="12">
        <v>1</v>
      </c>
      <c r="T254" s="15">
        <v>2486</v>
      </c>
      <c r="U254" s="17">
        <v>4.5</v>
      </c>
    </row>
    <row r="255" spans="1:21" x14ac:dyDescent="0.35">
      <c r="A255" s="18" t="s">
        <v>368</v>
      </c>
      <c r="B255" s="12" t="str">
        <f t="shared" si="3"/>
        <v>July</v>
      </c>
      <c r="C255" s="19">
        <v>45124</v>
      </c>
      <c r="D255" s="20" t="s">
        <v>101</v>
      </c>
      <c r="E255" s="20" t="s">
        <v>54</v>
      </c>
      <c r="F255" s="20" t="s">
        <v>102</v>
      </c>
      <c r="G255" s="20" t="s">
        <v>53</v>
      </c>
      <c r="H255" s="20" t="s">
        <v>64</v>
      </c>
      <c r="I255" s="20" t="s">
        <v>71</v>
      </c>
      <c r="J255" s="20" t="s">
        <v>99</v>
      </c>
      <c r="K255" s="18">
        <v>9</v>
      </c>
      <c r="L255" s="21">
        <v>4072</v>
      </c>
      <c r="M255" s="21">
        <v>36648</v>
      </c>
      <c r="N255" s="22">
        <v>40</v>
      </c>
      <c r="O255" s="21">
        <v>14659</v>
      </c>
      <c r="P255" s="21">
        <v>21989</v>
      </c>
      <c r="Q255" s="21">
        <v>12571</v>
      </c>
      <c r="R255" s="21">
        <v>9418</v>
      </c>
      <c r="S255" s="18">
        <v>1</v>
      </c>
      <c r="T255" s="21">
        <v>2443</v>
      </c>
      <c r="U255" s="23">
        <v>4.7</v>
      </c>
    </row>
    <row r="256" spans="1:21" x14ac:dyDescent="0.35">
      <c r="A256" s="12" t="s">
        <v>369</v>
      </c>
      <c r="B256" s="12" t="str">
        <f t="shared" si="3"/>
        <v>July</v>
      </c>
      <c r="C256" s="13">
        <v>45125</v>
      </c>
      <c r="D256" s="14" t="s">
        <v>122</v>
      </c>
      <c r="E256" s="14" t="s">
        <v>50</v>
      </c>
      <c r="F256" s="14" t="s">
        <v>94</v>
      </c>
      <c r="G256" s="14" t="s">
        <v>57</v>
      </c>
      <c r="H256" s="14" t="s">
        <v>64</v>
      </c>
      <c r="I256" s="14" t="s">
        <v>67</v>
      </c>
      <c r="J256" s="14" t="s">
        <v>95</v>
      </c>
      <c r="K256" s="12">
        <v>6</v>
      </c>
      <c r="L256" s="15">
        <v>743</v>
      </c>
      <c r="M256" s="15">
        <v>4458</v>
      </c>
      <c r="N256" s="16">
        <v>30</v>
      </c>
      <c r="O256" s="15">
        <v>1337</v>
      </c>
      <c r="P256" s="15">
        <v>3121</v>
      </c>
      <c r="Q256" s="15">
        <v>1626</v>
      </c>
      <c r="R256" s="15">
        <v>1495</v>
      </c>
      <c r="S256" s="12">
        <v>0</v>
      </c>
      <c r="T256" s="15">
        <v>0</v>
      </c>
      <c r="U256" s="17">
        <v>3.3</v>
      </c>
    </row>
    <row r="257" spans="1:21" x14ac:dyDescent="0.35">
      <c r="A257" s="18" t="s">
        <v>370</v>
      </c>
      <c r="B257" s="12" t="str">
        <f t="shared" si="3"/>
        <v>July</v>
      </c>
      <c r="C257" s="19">
        <v>45125</v>
      </c>
      <c r="D257" s="20" t="s">
        <v>131</v>
      </c>
      <c r="E257" s="20" t="s">
        <v>56</v>
      </c>
      <c r="F257" s="20" t="s">
        <v>151</v>
      </c>
      <c r="G257" s="20" t="s">
        <v>57</v>
      </c>
      <c r="H257" s="20" t="s">
        <v>66</v>
      </c>
      <c r="I257" s="20" t="s">
        <v>71</v>
      </c>
      <c r="J257" s="20" t="s">
        <v>95</v>
      </c>
      <c r="K257" s="18">
        <v>6</v>
      </c>
      <c r="L257" s="21">
        <v>3714</v>
      </c>
      <c r="M257" s="21">
        <v>22284</v>
      </c>
      <c r="N257" s="22">
        <v>15</v>
      </c>
      <c r="O257" s="21">
        <v>3343</v>
      </c>
      <c r="P257" s="21">
        <v>18941</v>
      </c>
      <c r="Q257" s="21">
        <v>11773</v>
      </c>
      <c r="R257" s="21">
        <v>7168</v>
      </c>
      <c r="S257" s="18">
        <v>1</v>
      </c>
      <c r="T257" s="21">
        <v>3157</v>
      </c>
      <c r="U257" s="23">
        <v>4.8</v>
      </c>
    </row>
    <row r="258" spans="1:21" x14ac:dyDescent="0.35">
      <c r="A258" s="12" t="s">
        <v>371</v>
      </c>
      <c r="B258" s="12" t="str">
        <f t="shared" ref="B258:B321" si="4">TEXT(C258,"MMMM")</f>
        <v>July</v>
      </c>
      <c r="C258" s="13">
        <v>45126</v>
      </c>
      <c r="D258" s="14" t="s">
        <v>93</v>
      </c>
      <c r="E258" s="14" t="s">
        <v>54</v>
      </c>
      <c r="F258" s="14" t="s">
        <v>124</v>
      </c>
      <c r="G258" s="14" t="s">
        <v>53</v>
      </c>
      <c r="H258" s="14" t="s">
        <v>68</v>
      </c>
      <c r="I258" s="14" t="s">
        <v>71</v>
      </c>
      <c r="J258" s="14" t="s">
        <v>103</v>
      </c>
      <c r="K258" s="12">
        <v>12</v>
      </c>
      <c r="L258" s="15">
        <v>2586</v>
      </c>
      <c r="M258" s="15">
        <v>31032</v>
      </c>
      <c r="N258" s="16">
        <v>15</v>
      </c>
      <c r="O258" s="15">
        <v>4655</v>
      </c>
      <c r="P258" s="15">
        <v>26377</v>
      </c>
      <c r="Q258" s="15">
        <v>13826</v>
      </c>
      <c r="R258" s="15">
        <v>12551</v>
      </c>
      <c r="S258" s="12">
        <v>0</v>
      </c>
      <c r="T258" s="15">
        <v>0</v>
      </c>
      <c r="U258" s="17">
        <v>3.9</v>
      </c>
    </row>
    <row r="259" spans="1:21" x14ac:dyDescent="0.35">
      <c r="A259" s="18" t="s">
        <v>372</v>
      </c>
      <c r="B259" s="12" t="str">
        <f t="shared" si="4"/>
        <v>July</v>
      </c>
      <c r="C259" s="19">
        <v>45126</v>
      </c>
      <c r="D259" s="20" t="s">
        <v>93</v>
      </c>
      <c r="E259" s="20" t="s">
        <v>56</v>
      </c>
      <c r="F259" s="20" t="s">
        <v>98</v>
      </c>
      <c r="G259" s="20" t="s">
        <v>57</v>
      </c>
      <c r="H259" s="20" t="s">
        <v>64</v>
      </c>
      <c r="I259" s="20" t="s">
        <v>71</v>
      </c>
      <c r="J259" s="20" t="s">
        <v>95</v>
      </c>
      <c r="K259" s="18">
        <v>13</v>
      </c>
      <c r="L259" s="21">
        <v>3805</v>
      </c>
      <c r="M259" s="21">
        <v>49465</v>
      </c>
      <c r="N259" s="22">
        <v>0</v>
      </c>
      <c r="O259" s="21">
        <v>0</v>
      </c>
      <c r="P259" s="21">
        <v>49465</v>
      </c>
      <c r="Q259" s="21">
        <v>30927</v>
      </c>
      <c r="R259" s="21">
        <v>18538</v>
      </c>
      <c r="S259" s="18">
        <v>0</v>
      </c>
      <c r="T259" s="21">
        <v>0</v>
      </c>
      <c r="U259" s="23">
        <v>3.4</v>
      </c>
    </row>
    <row r="260" spans="1:21" x14ac:dyDescent="0.35">
      <c r="A260" s="12" t="s">
        <v>373</v>
      </c>
      <c r="B260" s="12" t="str">
        <f t="shared" si="4"/>
        <v>July</v>
      </c>
      <c r="C260" s="13">
        <v>45128</v>
      </c>
      <c r="D260" s="14" t="s">
        <v>115</v>
      </c>
      <c r="E260" s="14" t="s">
        <v>56</v>
      </c>
      <c r="F260" s="14" t="s">
        <v>111</v>
      </c>
      <c r="G260" s="14" t="s">
        <v>49</v>
      </c>
      <c r="H260" s="14" t="s">
        <v>66</v>
      </c>
      <c r="I260" s="14" t="s">
        <v>65</v>
      </c>
      <c r="J260" s="14" t="s">
        <v>103</v>
      </c>
      <c r="K260" s="12">
        <v>11</v>
      </c>
      <c r="L260" s="15">
        <v>3178</v>
      </c>
      <c r="M260" s="15">
        <v>34958</v>
      </c>
      <c r="N260" s="16">
        <v>15</v>
      </c>
      <c r="O260" s="15">
        <v>5244</v>
      </c>
      <c r="P260" s="15">
        <v>29714</v>
      </c>
      <c r="Q260" s="15">
        <v>16471</v>
      </c>
      <c r="R260" s="15">
        <v>13243</v>
      </c>
      <c r="S260" s="12">
        <v>2</v>
      </c>
      <c r="T260" s="15">
        <v>5403</v>
      </c>
      <c r="U260" s="17">
        <v>2.9</v>
      </c>
    </row>
    <row r="261" spans="1:21" x14ac:dyDescent="0.35">
      <c r="A261" s="18" t="s">
        <v>374</v>
      </c>
      <c r="B261" s="12" t="str">
        <f t="shared" si="4"/>
        <v>July</v>
      </c>
      <c r="C261" s="19">
        <v>45129</v>
      </c>
      <c r="D261" s="20" t="s">
        <v>142</v>
      </c>
      <c r="E261" s="20" t="s">
        <v>58</v>
      </c>
      <c r="F261" s="20" t="s">
        <v>151</v>
      </c>
      <c r="G261" s="20" t="s">
        <v>57</v>
      </c>
      <c r="H261" s="20" t="s">
        <v>66</v>
      </c>
      <c r="I261" s="20" t="s">
        <v>71</v>
      </c>
      <c r="J261" s="20" t="s">
        <v>103</v>
      </c>
      <c r="K261" s="18">
        <v>11</v>
      </c>
      <c r="L261" s="21">
        <v>4918</v>
      </c>
      <c r="M261" s="21">
        <v>54098</v>
      </c>
      <c r="N261" s="22">
        <v>10</v>
      </c>
      <c r="O261" s="21">
        <v>5410</v>
      </c>
      <c r="P261" s="21">
        <v>48688</v>
      </c>
      <c r="Q261" s="21">
        <v>23374</v>
      </c>
      <c r="R261" s="21">
        <v>25314</v>
      </c>
      <c r="S261" s="18">
        <v>1</v>
      </c>
      <c r="T261" s="21">
        <v>4426</v>
      </c>
      <c r="U261" s="23">
        <v>2.9</v>
      </c>
    </row>
    <row r="262" spans="1:21" x14ac:dyDescent="0.35">
      <c r="A262" s="12" t="s">
        <v>375</v>
      </c>
      <c r="B262" s="12" t="str">
        <f t="shared" si="4"/>
        <v>July</v>
      </c>
      <c r="C262" s="13">
        <v>45129</v>
      </c>
      <c r="D262" s="14" t="s">
        <v>122</v>
      </c>
      <c r="E262" s="14" t="s">
        <v>56</v>
      </c>
      <c r="F262" s="14" t="s">
        <v>134</v>
      </c>
      <c r="G262" s="14" t="s">
        <v>51</v>
      </c>
      <c r="H262" s="14" t="s">
        <v>66</v>
      </c>
      <c r="I262" s="14" t="s">
        <v>71</v>
      </c>
      <c r="J262" s="14" t="s">
        <v>103</v>
      </c>
      <c r="K262" s="12">
        <v>9</v>
      </c>
      <c r="L262" s="15">
        <v>1456</v>
      </c>
      <c r="M262" s="15">
        <v>13104</v>
      </c>
      <c r="N262" s="16">
        <v>5</v>
      </c>
      <c r="O262" s="15">
        <v>655</v>
      </c>
      <c r="P262" s="15">
        <v>12449</v>
      </c>
      <c r="Q262" s="15">
        <v>6431</v>
      </c>
      <c r="R262" s="15">
        <v>6018</v>
      </c>
      <c r="S262" s="12">
        <v>1</v>
      </c>
      <c r="T262" s="15">
        <v>1383</v>
      </c>
      <c r="U262" s="17">
        <v>3.3</v>
      </c>
    </row>
    <row r="263" spans="1:21" x14ac:dyDescent="0.35">
      <c r="A263" s="18" t="s">
        <v>376</v>
      </c>
      <c r="B263" s="12" t="str">
        <f t="shared" si="4"/>
        <v>July</v>
      </c>
      <c r="C263" s="19">
        <v>45130</v>
      </c>
      <c r="D263" s="20" t="s">
        <v>131</v>
      </c>
      <c r="E263" s="20" t="s">
        <v>58</v>
      </c>
      <c r="F263" s="20" t="s">
        <v>102</v>
      </c>
      <c r="G263" s="20" t="s">
        <v>55</v>
      </c>
      <c r="H263" s="20" t="s">
        <v>68</v>
      </c>
      <c r="I263" s="20" t="s">
        <v>69</v>
      </c>
      <c r="J263" s="20" t="s">
        <v>103</v>
      </c>
      <c r="K263" s="18">
        <v>4</v>
      </c>
      <c r="L263" s="21">
        <v>1644</v>
      </c>
      <c r="M263" s="21">
        <v>6576</v>
      </c>
      <c r="N263" s="22">
        <v>0</v>
      </c>
      <c r="O263" s="21">
        <v>0</v>
      </c>
      <c r="P263" s="21">
        <v>6576</v>
      </c>
      <c r="Q263" s="21">
        <v>4383</v>
      </c>
      <c r="R263" s="21">
        <v>2193</v>
      </c>
      <c r="S263" s="18">
        <v>1</v>
      </c>
      <c r="T263" s="21">
        <v>1644</v>
      </c>
      <c r="U263" s="23">
        <v>3.2</v>
      </c>
    </row>
    <row r="264" spans="1:21" x14ac:dyDescent="0.35">
      <c r="A264" s="12" t="s">
        <v>377</v>
      </c>
      <c r="B264" s="12" t="str">
        <f t="shared" si="4"/>
        <v>July</v>
      </c>
      <c r="C264" s="13">
        <v>45130</v>
      </c>
      <c r="D264" s="14" t="s">
        <v>97</v>
      </c>
      <c r="E264" s="14" t="s">
        <v>48</v>
      </c>
      <c r="F264" s="14" t="s">
        <v>98</v>
      </c>
      <c r="G264" s="14" t="s">
        <v>49</v>
      </c>
      <c r="H264" s="14" t="s">
        <v>68</v>
      </c>
      <c r="I264" s="14" t="s">
        <v>71</v>
      </c>
      <c r="J264" s="14" t="s">
        <v>95</v>
      </c>
      <c r="K264" s="12">
        <v>2</v>
      </c>
      <c r="L264" s="15">
        <v>3377</v>
      </c>
      <c r="M264" s="15">
        <v>6754</v>
      </c>
      <c r="N264" s="16">
        <v>30</v>
      </c>
      <c r="O264" s="15">
        <v>2026</v>
      </c>
      <c r="P264" s="15">
        <v>4728</v>
      </c>
      <c r="Q264" s="15">
        <v>2493</v>
      </c>
      <c r="R264" s="15">
        <v>2235</v>
      </c>
      <c r="S264" s="12">
        <v>0</v>
      </c>
      <c r="T264" s="15">
        <v>0</v>
      </c>
      <c r="U264" s="17">
        <v>4.3</v>
      </c>
    </row>
    <row r="265" spans="1:21" x14ac:dyDescent="0.35">
      <c r="A265" s="18" t="s">
        <v>378</v>
      </c>
      <c r="B265" s="12" t="str">
        <f t="shared" si="4"/>
        <v>July</v>
      </c>
      <c r="C265" s="19">
        <v>45130</v>
      </c>
      <c r="D265" s="20" t="s">
        <v>97</v>
      </c>
      <c r="E265" s="20" t="s">
        <v>54</v>
      </c>
      <c r="F265" s="20" t="s">
        <v>108</v>
      </c>
      <c r="G265" s="20" t="s">
        <v>55</v>
      </c>
      <c r="H265" s="20" t="s">
        <v>64</v>
      </c>
      <c r="I265" s="20" t="s">
        <v>65</v>
      </c>
      <c r="J265" s="20" t="s">
        <v>99</v>
      </c>
      <c r="K265" s="18">
        <v>10</v>
      </c>
      <c r="L265" s="21">
        <v>4618</v>
      </c>
      <c r="M265" s="21">
        <v>46180</v>
      </c>
      <c r="N265" s="22">
        <v>50</v>
      </c>
      <c r="O265" s="21">
        <v>23090</v>
      </c>
      <c r="P265" s="21">
        <v>23090</v>
      </c>
      <c r="Q265" s="21">
        <v>15607</v>
      </c>
      <c r="R265" s="21">
        <v>7483</v>
      </c>
      <c r="S265" s="18">
        <v>1</v>
      </c>
      <c r="T265" s="21">
        <v>2309</v>
      </c>
      <c r="U265" s="23">
        <v>4.5999999999999996</v>
      </c>
    </row>
    <row r="266" spans="1:21" x14ac:dyDescent="0.35">
      <c r="A266" s="12" t="s">
        <v>379</v>
      </c>
      <c r="B266" s="12" t="str">
        <f t="shared" si="4"/>
        <v>July</v>
      </c>
      <c r="C266" s="13">
        <v>45132</v>
      </c>
      <c r="D266" s="14" t="s">
        <v>113</v>
      </c>
      <c r="E266" s="14" t="s">
        <v>50</v>
      </c>
      <c r="F266" s="14" t="s">
        <v>98</v>
      </c>
      <c r="G266" s="14" t="s">
        <v>57</v>
      </c>
      <c r="H266" s="14" t="s">
        <v>66</v>
      </c>
      <c r="I266" s="14" t="s">
        <v>69</v>
      </c>
      <c r="J266" s="14" t="s">
        <v>95</v>
      </c>
      <c r="K266" s="12">
        <v>3</v>
      </c>
      <c r="L266" s="15">
        <v>4111</v>
      </c>
      <c r="M266" s="15">
        <v>12333</v>
      </c>
      <c r="N266" s="16">
        <v>20</v>
      </c>
      <c r="O266" s="15">
        <v>2467</v>
      </c>
      <c r="P266" s="15">
        <v>9866</v>
      </c>
      <c r="Q266" s="15">
        <v>4650</v>
      </c>
      <c r="R266" s="15">
        <v>5216</v>
      </c>
      <c r="S266" s="12">
        <v>0</v>
      </c>
      <c r="T266" s="15">
        <v>0</v>
      </c>
      <c r="U266" s="17">
        <v>2.8</v>
      </c>
    </row>
    <row r="267" spans="1:21" x14ac:dyDescent="0.35">
      <c r="A267" s="18" t="s">
        <v>380</v>
      </c>
      <c r="B267" s="12" t="str">
        <f t="shared" si="4"/>
        <v>July</v>
      </c>
      <c r="C267" s="19">
        <v>45132</v>
      </c>
      <c r="D267" s="20" t="s">
        <v>122</v>
      </c>
      <c r="E267" s="20" t="s">
        <v>50</v>
      </c>
      <c r="F267" s="20" t="s">
        <v>98</v>
      </c>
      <c r="G267" s="20" t="s">
        <v>55</v>
      </c>
      <c r="H267" s="20" t="s">
        <v>66</v>
      </c>
      <c r="I267" s="20" t="s">
        <v>65</v>
      </c>
      <c r="J267" s="20" t="s">
        <v>95</v>
      </c>
      <c r="K267" s="18">
        <v>15</v>
      </c>
      <c r="L267" s="21">
        <v>679</v>
      </c>
      <c r="M267" s="21">
        <v>10185</v>
      </c>
      <c r="N267" s="22">
        <v>10</v>
      </c>
      <c r="O267" s="21">
        <v>1018</v>
      </c>
      <c r="P267" s="21">
        <v>9167</v>
      </c>
      <c r="Q267" s="21">
        <v>4276</v>
      </c>
      <c r="R267" s="21">
        <v>4891</v>
      </c>
      <c r="S267" s="18">
        <v>2</v>
      </c>
      <c r="T267" s="21">
        <v>1222</v>
      </c>
      <c r="U267" s="23">
        <v>4.0999999999999996</v>
      </c>
    </row>
    <row r="268" spans="1:21" x14ac:dyDescent="0.35">
      <c r="A268" s="12" t="s">
        <v>381</v>
      </c>
      <c r="B268" s="12" t="str">
        <f t="shared" si="4"/>
        <v>July</v>
      </c>
      <c r="C268" s="13">
        <v>45133</v>
      </c>
      <c r="D268" s="14" t="s">
        <v>131</v>
      </c>
      <c r="E268" s="14" t="s">
        <v>52</v>
      </c>
      <c r="F268" s="14" t="s">
        <v>102</v>
      </c>
      <c r="G268" s="14" t="s">
        <v>57</v>
      </c>
      <c r="H268" s="14" t="s">
        <v>64</v>
      </c>
      <c r="I268" s="14" t="s">
        <v>70</v>
      </c>
      <c r="J268" s="14" t="s">
        <v>95</v>
      </c>
      <c r="K268" s="12">
        <v>15</v>
      </c>
      <c r="L268" s="15">
        <v>4214</v>
      </c>
      <c r="M268" s="15">
        <v>63210</v>
      </c>
      <c r="N268" s="16">
        <v>0</v>
      </c>
      <c r="O268" s="15">
        <v>0</v>
      </c>
      <c r="P268" s="15">
        <v>63210</v>
      </c>
      <c r="Q268" s="15">
        <v>32387</v>
      </c>
      <c r="R268" s="15">
        <v>30823</v>
      </c>
      <c r="S268" s="12">
        <v>3</v>
      </c>
      <c r="T268" s="15">
        <v>12642</v>
      </c>
      <c r="U268" s="17">
        <v>2.6</v>
      </c>
    </row>
    <row r="269" spans="1:21" x14ac:dyDescent="0.35">
      <c r="A269" s="18" t="s">
        <v>382</v>
      </c>
      <c r="B269" s="12" t="str">
        <f t="shared" si="4"/>
        <v>July</v>
      </c>
      <c r="C269" s="19">
        <v>45133</v>
      </c>
      <c r="D269" s="20" t="s">
        <v>115</v>
      </c>
      <c r="E269" s="20" t="s">
        <v>58</v>
      </c>
      <c r="F269" s="20" t="s">
        <v>111</v>
      </c>
      <c r="G269" s="20" t="s">
        <v>53</v>
      </c>
      <c r="H269" s="20" t="s">
        <v>64</v>
      </c>
      <c r="I269" s="20" t="s">
        <v>67</v>
      </c>
      <c r="J269" s="20" t="s">
        <v>103</v>
      </c>
      <c r="K269" s="18">
        <v>1</v>
      </c>
      <c r="L269" s="21">
        <v>303</v>
      </c>
      <c r="M269" s="21">
        <v>303</v>
      </c>
      <c r="N269" s="22">
        <v>50</v>
      </c>
      <c r="O269" s="21">
        <v>152</v>
      </c>
      <c r="P269" s="21">
        <v>151</v>
      </c>
      <c r="Q269" s="21">
        <v>99</v>
      </c>
      <c r="R269" s="21">
        <v>52</v>
      </c>
      <c r="S269" s="18">
        <v>1</v>
      </c>
      <c r="T269" s="21">
        <v>152</v>
      </c>
      <c r="U269" s="23">
        <v>2.8</v>
      </c>
    </row>
    <row r="270" spans="1:21" x14ac:dyDescent="0.35">
      <c r="A270" s="12" t="s">
        <v>383</v>
      </c>
      <c r="B270" s="12" t="str">
        <f t="shared" si="4"/>
        <v>July</v>
      </c>
      <c r="C270" s="13">
        <v>45134</v>
      </c>
      <c r="D270" s="14" t="s">
        <v>101</v>
      </c>
      <c r="E270" s="14" t="s">
        <v>56</v>
      </c>
      <c r="F270" s="14" t="s">
        <v>111</v>
      </c>
      <c r="G270" s="14" t="s">
        <v>51</v>
      </c>
      <c r="H270" s="14" t="s">
        <v>66</v>
      </c>
      <c r="I270" s="14" t="s">
        <v>65</v>
      </c>
      <c r="J270" s="14" t="s">
        <v>99</v>
      </c>
      <c r="K270" s="12">
        <v>1</v>
      </c>
      <c r="L270" s="15">
        <v>3765</v>
      </c>
      <c r="M270" s="15">
        <v>3765</v>
      </c>
      <c r="N270" s="16">
        <v>15</v>
      </c>
      <c r="O270" s="15">
        <v>565</v>
      </c>
      <c r="P270" s="15">
        <v>3200</v>
      </c>
      <c r="Q270" s="15">
        <v>1800</v>
      </c>
      <c r="R270" s="15">
        <v>1400</v>
      </c>
      <c r="S270" s="12">
        <v>1</v>
      </c>
      <c r="T270" s="15">
        <v>3200</v>
      </c>
      <c r="U270" s="17">
        <v>3.5</v>
      </c>
    </row>
    <row r="271" spans="1:21" x14ac:dyDescent="0.35">
      <c r="A271" s="18" t="s">
        <v>384</v>
      </c>
      <c r="B271" s="12" t="str">
        <f t="shared" si="4"/>
        <v>July</v>
      </c>
      <c r="C271" s="19">
        <v>45134</v>
      </c>
      <c r="D271" s="20" t="s">
        <v>113</v>
      </c>
      <c r="E271" s="20" t="s">
        <v>48</v>
      </c>
      <c r="F271" s="20" t="s">
        <v>134</v>
      </c>
      <c r="G271" s="20" t="s">
        <v>49</v>
      </c>
      <c r="H271" s="20" t="s">
        <v>66</v>
      </c>
      <c r="I271" s="20" t="s">
        <v>67</v>
      </c>
      <c r="J271" s="20" t="s">
        <v>95</v>
      </c>
      <c r="K271" s="18">
        <v>4</v>
      </c>
      <c r="L271" s="21">
        <v>2410</v>
      </c>
      <c r="M271" s="21">
        <v>9640</v>
      </c>
      <c r="N271" s="22">
        <v>40</v>
      </c>
      <c r="O271" s="21">
        <v>3856</v>
      </c>
      <c r="P271" s="21">
        <v>5784</v>
      </c>
      <c r="Q271" s="21">
        <v>3857</v>
      </c>
      <c r="R271" s="21">
        <v>1927</v>
      </c>
      <c r="S271" s="18">
        <v>0</v>
      </c>
      <c r="T271" s="21">
        <v>0</v>
      </c>
      <c r="U271" s="23">
        <v>3</v>
      </c>
    </row>
    <row r="272" spans="1:21" x14ac:dyDescent="0.35">
      <c r="A272" s="12" t="s">
        <v>385</v>
      </c>
      <c r="B272" s="12" t="str">
        <f t="shared" si="4"/>
        <v>July</v>
      </c>
      <c r="C272" s="13">
        <v>45136</v>
      </c>
      <c r="D272" s="14" t="s">
        <v>113</v>
      </c>
      <c r="E272" s="14" t="s">
        <v>58</v>
      </c>
      <c r="F272" s="14" t="s">
        <v>111</v>
      </c>
      <c r="G272" s="14" t="s">
        <v>49</v>
      </c>
      <c r="H272" s="14" t="s">
        <v>68</v>
      </c>
      <c r="I272" s="14" t="s">
        <v>67</v>
      </c>
      <c r="J272" s="14" t="s">
        <v>99</v>
      </c>
      <c r="K272" s="12">
        <v>10</v>
      </c>
      <c r="L272" s="15">
        <v>3555</v>
      </c>
      <c r="M272" s="15">
        <v>35550</v>
      </c>
      <c r="N272" s="16">
        <v>5</v>
      </c>
      <c r="O272" s="15">
        <v>1778</v>
      </c>
      <c r="P272" s="15">
        <v>33772</v>
      </c>
      <c r="Q272" s="15">
        <v>22389</v>
      </c>
      <c r="R272" s="15">
        <v>11383</v>
      </c>
      <c r="S272" s="12">
        <v>2</v>
      </c>
      <c r="T272" s="15">
        <v>6754</v>
      </c>
      <c r="U272" s="17">
        <v>4.5999999999999996</v>
      </c>
    </row>
    <row r="273" spans="1:21" x14ac:dyDescent="0.35">
      <c r="A273" s="18" t="s">
        <v>386</v>
      </c>
      <c r="B273" s="12" t="str">
        <f t="shared" si="4"/>
        <v>July</v>
      </c>
      <c r="C273" s="19">
        <v>45136</v>
      </c>
      <c r="D273" s="20" t="s">
        <v>122</v>
      </c>
      <c r="E273" s="20" t="s">
        <v>56</v>
      </c>
      <c r="F273" s="20" t="s">
        <v>124</v>
      </c>
      <c r="G273" s="20" t="s">
        <v>51</v>
      </c>
      <c r="H273" s="20" t="s">
        <v>66</v>
      </c>
      <c r="I273" s="20" t="s">
        <v>67</v>
      </c>
      <c r="J273" s="20" t="s">
        <v>95</v>
      </c>
      <c r="K273" s="18">
        <v>5</v>
      </c>
      <c r="L273" s="21">
        <v>3395</v>
      </c>
      <c r="M273" s="21">
        <v>16975</v>
      </c>
      <c r="N273" s="22">
        <v>30</v>
      </c>
      <c r="O273" s="21">
        <v>5092</v>
      </c>
      <c r="P273" s="21">
        <v>11883</v>
      </c>
      <c r="Q273" s="21">
        <v>7691</v>
      </c>
      <c r="R273" s="21">
        <v>4192</v>
      </c>
      <c r="S273" s="18">
        <v>0</v>
      </c>
      <c r="T273" s="21">
        <v>0</v>
      </c>
      <c r="U273" s="23">
        <v>3.6</v>
      </c>
    </row>
    <row r="274" spans="1:21" x14ac:dyDescent="0.35">
      <c r="A274" s="12" t="s">
        <v>387</v>
      </c>
      <c r="B274" s="12" t="str">
        <f t="shared" si="4"/>
        <v>July</v>
      </c>
      <c r="C274" s="13">
        <v>45137</v>
      </c>
      <c r="D274" s="14" t="s">
        <v>142</v>
      </c>
      <c r="E274" s="14" t="s">
        <v>48</v>
      </c>
      <c r="F274" s="14" t="s">
        <v>124</v>
      </c>
      <c r="G274" s="14" t="s">
        <v>51</v>
      </c>
      <c r="H274" s="14" t="s">
        <v>64</v>
      </c>
      <c r="I274" s="14" t="s">
        <v>69</v>
      </c>
      <c r="J274" s="14" t="s">
        <v>95</v>
      </c>
      <c r="K274" s="12">
        <v>13</v>
      </c>
      <c r="L274" s="15">
        <v>878</v>
      </c>
      <c r="M274" s="15">
        <v>11414</v>
      </c>
      <c r="N274" s="16">
        <v>30</v>
      </c>
      <c r="O274" s="15">
        <v>3424</v>
      </c>
      <c r="P274" s="15">
        <v>7990</v>
      </c>
      <c r="Q274" s="15">
        <v>4298</v>
      </c>
      <c r="R274" s="15">
        <v>3692</v>
      </c>
      <c r="S274" s="12">
        <v>3</v>
      </c>
      <c r="T274" s="15">
        <v>1844</v>
      </c>
      <c r="U274" s="17">
        <v>3.3</v>
      </c>
    </row>
    <row r="275" spans="1:21" x14ac:dyDescent="0.35">
      <c r="A275" s="18" t="s">
        <v>388</v>
      </c>
      <c r="B275" s="12" t="str">
        <f t="shared" si="4"/>
        <v>July</v>
      </c>
      <c r="C275" s="19">
        <v>45138</v>
      </c>
      <c r="D275" s="20" t="s">
        <v>97</v>
      </c>
      <c r="E275" s="20" t="s">
        <v>56</v>
      </c>
      <c r="F275" s="20" t="s">
        <v>106</v>
      </c>
      <c r="G275" s="20" t="s">
        <v>55</v>
      </c>
      <c r="H275" s="20" t="s">
        <v>66</v>
      </c>
      <c r="I275" s="20" t="s">
        <v>71</v>
      </c>
      <c r="J275" s="20" t="s">
        <v>99</v>
      </c>
      <c r="K275" s="18">
        <v>14</v>
      </c>
      <c r="L275" s="21">
        <v>4286</v>
      </c>
      <c r="M275" s="21">
        <v>60004</v>
      </c>
      <c r="N275" s="22">
        <v>0</v>
      </c>
      <c r="O275" s="21">
        <v>0</v>
      </c>
      <c r="P275" s="21">
        <v>60004</v>
      </c>
      <c r="Q275" s="21">
        <v>37589</v>
      </c>
      <c r="R275" s="21">
        <v>22415</v>
      </c>
      <c r="S275" s="18">
        <v>1</v>
      </c>
      <c r="T275" s="21">
        <v>4286</v>
      </c>
      <c r="U275" s="23">
        <v>3.9</v>
      </c>
    </row>
    <row r="276" spans="1:21" x14ac:dyDescent="0.35">
      <c r="A276" s="12" t="s">
        <v>389</v>
      </c>
      <c r="B276" s="12" t="str">
        <f t="shared" si="4"/>
        <v>July</v>
      </c>
      <c r="C276" s="13">
        <v>45138</v>
      </c>
      <c r="D276" s="14" t="s">
        <v>120</v>
      </c>
      <c r="E276" s="14" t="s">
        <v>50</v>
      </c>
      <c r="F276" s="14" t="s">
        <v>116</v>
      </c>
      <c r="G276" s="14" t="s">
        <v>53</v>
      </c>
      <c r="H276" s="14" t="s">
        <v>66</v>
      </c>
      <c r="I276" s="14" t="s">
        <v>65</v>
      </c>
      <c r="J276" s="14" t="s">
        <v>95</v>
      </c>
      <c r="K276" s="12">
        <v>14</v>
      </c>
      <c r="L276" s="15">
        <v>2553</v>
      </c>
      <c r="M276" s="15">
        <v>35742</v>
      </c>
      <c r="N276" s="16">
        <v>15</v>
      </c>
      <c r="O276" s="15">
        <v>5361</v>
      </c>
      <c r="P276" s="15">
        <v>30381</v>
      </c>
      <c r="Q276" s="15">
        <v>14907</v>
      </c>
      <c r="R276" s="15">
        <v>15474</v>
      </c>
      <c r="S276" s="12">
        <v>0</v>
      </c>
      <c r="T276" s="15">
        <v>0</v>
      </c>
      <c r="U276" s="17">
        <v>4.5</v>
      </c>
    </row>
    <row r="277" spans="1:21" x14ac:dyDescent="0.35">
      <c r="A277" s="18" t="s">
        <v>390</v>
      </c>
      <c r="B277" s="12" t="str">
        <f t="shared" si="4"/>
        <v>July</v>
      </c>
      <c r="C277" s="19">
        <v>45138</v>
      </c>
      <c r="D277" s="20" t="s">
        <v>122</v>
      </c>
      <c r="E277" s="20" t="s">
        <v>50</v>
      </c>
      <c r="F277" s="20" t="s">
        <v>108</v>
      </c>
      <c r="G277" s="20" t="s">
        <v>55</v>
      </c>
      <c r="H277" s="20" t="s">
        <v>66</v>
      </c>
      <c r="I277" s="20" t="s">
        <v>67</v>
      </c>
      <c r="J277" s="20" t="s">
        <v>95</v>
      </c>
      <c r="K277" s="18">
        <v>13</v>
      </c>
      <c r="L277" s="21">
        <v>1182</v>
      </c>
      <c r="M277" s="21">
        <v>15366</v>
      </c>
      <c r="N277" s="22">
        <v>10</v>
      </c>
      <c r="O277" s="21">
        <v>1537</v>
      </c>
      <c r="P277" s="21">
        <v>13829</v>
      </c>
      <c r="Q277" s="21">
        <v>6862</v>
      </c>
      <c r="R277" s="21">
        <v>6967</v>
      </c>
      <c r="S277" s="18">
        <v>2</v>
      </c>
      <c r="T277" s="21">
        <v>2128</v>
      </c>
      <c r="U277" s="23">
        <v>4</v>
      </c>
    </row>
    <row r="278" spans="1:21" x14ac:dyDescent="0.35">
      <c r="A278" s="12" t="s">
        <v>391</v>
      </c>
      <c r="B278" s="12" t="str">
        <f t="shared" si="4"/>
        <v>August</v>
      </c>
      <c r="C278" s="13">
        <v>45139</v>
      </c>
      <c r="D278" s="14" t="s">
        <v>120</v>
      </c>
      <c r="E278" s="14" t="s">
        <v>59</v>
      </c>
      <c r="F278" s="14" t="s">
        <v>134</v>
      </c>
      <c r="G278" s="14" t="s">
        <v>49</v>
      </c>
      <c r="H278" s="14" t="s">
        <v>68</v>
      </c>
      <c r="I278" s="14" t="s">
        <v>65</v>
      </c>
      <c r="J278" s="14" t="s">
        <v>103</v>
      </c>
      <c r="K278" s="12">
        <v>10</v>
      </c>
      <c r="L278" s="15">
        <v>4793</v>
      </c>
      <c r="M278" s="15">
        <v>47930</v>
      </c>
      <c r="N278" s="16">
        <v>10</v>
      </c>
      <c r="O278" s="15">
        <v>4793</v>
      </c>
      <c r="P278" s="15">
        <v>43137</v>
      </c>
      <c r="Q278" s="15">
        <v>29806</v>
      </c>
      <c r="R278" s="15">
        <v>13331</v>
      </c>
      <c r="S278" s="12">
        <v>0</v>
      </c>
      <c r="T278" s="15">
        <v>0</v>
      </c>
      <c r="U278" s="17">
        <v>3.8</v>
      </c>
    </row>
    <row r="279" spans="1:21" x14ac:dyDescent="0.35">
      <c r="A279" s="18" t="s">
        <v>392</v>
      </c>
      <c r="B279" s="12" t="str">
        <f t="shared" si="4"/>
        <v>August</v>
      </c>
      <c r="C279" s="19">
        <v>45140</v>
      </c>
      <c r="D279" s="20" t="s">
        <v>93</v>
      </c>
      <c r="E279" s="20" t="s">
        <v>48</v>
      </c>
      <c r="F279" s="20" t="s">
        <v>108</v>
      </c>
      <c r="G279" s="20" t="s">
        <v>49</v>
      </c>
      <c r="H279" s="20" t="s">
        <v>66</v>
      </c>
      <c r="I279" s="20" t="s">
        <v>65</v>
      </c>
      <c r="J279" s="20" t="s">
        <v>99</v>
      </c>
      <c r="K279" s="18">
        <v>11</v>
      </c>
      <c r="L279" s="21">
        <v>3979</v>
      </c>
      <c r="M279" s="21">
        <v>43769</v>
      </c>
      <c r="N279" s="22">
        <v>15</v>
      </c>
      <c r="O279" s="21">
        <v>6565</v>
      </c>
      <c r="P279" s="21">
        <v>37204</v>
      </c>
      <c r="Q279" s="21">
        <v>23452</v>
      </c>
      <c r="R279" s="21">
        <v>13752</v>
      </c>
      <c r="S279" s="18">
        <v>2</v>
      </c>
      <c r="T279" s="21">
        <v>6764</v>
      </c>
      <c r="U279" s="23">
        <v>3.7</v>
      </c>
    </row>
    <row r="280" spans="1:21" x14ac:dyDescent="0.35">
      <c r="A280" s="12" t="s">
        <v>393</v>
      </c>
      <c r="B280" s="12" t="str">
        <f t="shared" si="4"/>
        <v>August</v>
      </c>
      <c r="C280" s="13">
        <v>45141</v>
      </c>
      <c r="D280" s="14" t="s">
        <v>97</v>
      </c>
      <c r="E280" s="14" t="s">
        <v>48</v>
      </c>
      <c r="F280" s="14" t="s">
        <v>111</v>
      </c>
      <c r="G280" s="14" t="s">
        <v>55</v>
      </c>
      <c r="H280" s="14" t="s">
        <v>66</v>
      </c>
      <c r="I280" s="14" t="s">
        <v>69</v>
      </c>
      <c r="J280" s="14" t="s">
        <v>99</v>
      </c>
      <c r="K280" s="12">
        <v>10</v>
      </c>
      <c r="L280" s="15">
        <v>2217</v>
      </c>
      <c r="M280" s="15">
        <v>22170</v>
      </c>
      <c r="N280" s="16">
        <v>20</v>
      </c>
      <c r="O280" s="15">
        <v>4434</v>
      </c>
      <c r="P280" s="15">
        <v>17736</v>
      </c>
      <c r="Q280" s="15">
        <v>8126</v>
      </c>
      <c r="R280" s="15">
        <v>9610</v>
      </c>
      <c r="S280" s="12">
        <v>1</v>
      </c>
      <c r="T280" s="15">
        <v>1774</v>
      </c>
      <c r="U280" s="17">
        <v>3</v>
      </c>
    </row>
    <row r="281" spans="1:21" x14ac:dyDescent="0.35">
      <c r="A281" s="18" t="s">
        <v>394</v>
      </c>
      <c r="B281" s="12" t="str">
        <f t="shared" si="4"/>
        <v>August</v>
      </c>
      <c r="C281" s="19">
        <v>45145</v>
      </c>
      <c r="D281" s="20" t="s">
        <v>115</v>
      </c>
      <c r="E281" s="20" t="s">
        <v>56</v>
      </c>
      <c r="F281" s="20" t="s">
        <v>98</v>
      </c>
      <c r="G281" s="20" t="s">
        <v>49</v>
      </c>
      <c r="H281" s="20" t="s">
        <v>64</v>
      </c>
      <c r="I281" s="20" t="s">
        <v>69</v>
      </c>
      <c r="J281" s="20" t="s">
        <v>95</v>
      </c>
      <c r="K281" s="18">
        <v>11</v>
      </c>
      <c r="L281" s="21">
        <v>3341</v>
      </c>
      <c r="M281" s="21">
        <v>36751</v>
      </c>
      <c r="N281" s="22">
        <v>25</v>
      </c>
      <c r="O281" s="21">
        <v>9188</v>
      </c>
      <c r="P281" s="21">
        <v>27563</v>
      </c>
      <c r="Q281" s="21">
        <v>14867</v>
      </c>
      <c r="R281" s="21">
        <v>12696</v>
      </c>
      <c r="S281" s="18">
        <v>1</v>
      </c>
      <c r="T281" s="21">
        <v>2506</v>
      </c>
      <c r="U281" s="23">
        <v>4.9000000000000004</v>
      </c>
    </row>
    <row r="282" spans="1:21" x14ac:dyDescent="0.35">
      <c r="A282" s="12" t="s">
        <v>395</v>
      </c>
      <c r="B282" s="12" t="str">
        <f t="shared" si="4"/>
        <v>August</v>
      </c>
      <c r="C282" s="13">
        <v>45146</v>
      </c>
      <c r="D282" s="14" t="s">
        <v>131</v>
      </c>
      <c r="E282" s="14" t="s">
        <v>56</v>
      </c>
      <c r="F282" s="14" t="s">
        <v>98</v>
      </c>
      <c r="G282" s="14" t="s">
        <v>49</v>
      </c>
      <c r="H282" s="14" t="s">
        <v>64</v>
      </c>
      <c r="I282" s="14" t="s">
        <v>70</v>
      </c>
      <c r="J282" s="14" t="s">
        <v>99</v>
      </c>
      <c r="K282" s="12">
        <v>2</v>
      </c>
      <c r="L282" s="15">
        <v>923</v>
      </c>
      <c r="M282" s="15">
        <v>1846</v>
      </c>
      <c r="N282" s="16">
        <v>15</v>
      </c>
      <c r="O282" s="15">
        <v>277</v>
      </c>
      <c r="P282" s="15">
        <v>1569</v>
      </c>
      <c r="Q282" s="15">
        <v>910</v>
      </c>
      <c r="R282" s="15">
        <v>659</v>
      </c>
      <c r="S282" s="12">
        <v>1</v>
      </c>
      <c r="T282" s="15">
        <v>785</v>
      </c>
      <c r="U282" s="17">
        <v>2.5</v>
      </c>
    </row>
    <row r="283" spans="1:21" x14ac:dyDescent="0.35">
      <c r="A283" s="18" t="s">
        <v>396</v>
      </c>
      <c r="B283" s="12" t="str">
        <f t="shared" si="4"/>
        <v>August</v>
      </c>
      <c r="C283" s="19">
        <v>45146</v>
      </c>
      <c r="D283" s="20" t="s">
        <v>101</v>
      </c>
      <c r="E283" s="20" t="s">
        <v>52</v>
      </c>
      <c r="F283" s="20" t="s">
        <v>124</v>
      </c>
      <c r="G283" s="20" t="s">
        <v>55</v>
      </c>
      <c r="H283" s="20" t="s">
        <v>68</v>
      </c>
      <c r="I283" s="20" t="s">
        <v>71</v>
      </c>
      <c r="J283" s="20" t="s">
        <v>103</v>
      </c>
      <c r="K283" s="18">
        <v>15</v>
      </c>
      <c r="L283" s="21">
        <v>3878</v>
      </c>
      <c r="M283" s="21">
        <v>58170</v>
      </c>
      <c r="N283" s="22">
        <v>5</v>
      </c>
      <c r="O283" s="21">
        <v>2908</v>
      </c>
      <c r="P283" s="21">
        <v>55262</v>
      </c>
      <c r="Q283" s="21">
        <v>30746</v>
      </c>
      <c r="R283" s="21">
        <v>24516</v>
      </c>
      <c r="S283" s="18">
        <v>2</v>
      </c>
      <c r="T283" s="21">
        <v>7368</v>
      </c>
      <c r="U283" s="23">
        <v>3.7</v>
      </c>
    </row>
    <row r="284" spans="1:21" x14ac:dyDescent="0.35">
      <c r="A284" s="12" t="s">
        <v>397</v>
      </c>
      <c r="B284" s="12" t="str">
        <f t="shared" si="4"/>
        <v>August</v>
      </c>
      <c r="C284" s="13">
        <v>45147</v>
      </c>
      <c r="D284" s="14" t="s">
        <v>142</v>
      </c>
      <c r="E284" s="14" t="s">
        <v>52</v>
      </c>
      <c r="F284" s="14" t="s">
        <v>151</v>
      </c>
      <c r="G284" s="14" t="s">
        <v>53</v>
      </c>
      <c r="H284" s="14" t="s">
        <v>68</v>
      </c>
      <c r="I284" s="14" t="s">
        <v>69</v>
      </c>
      <c r="J284" s="14" t="s">
        <v>99</v>
      </c>
      <c r="K284" s="12">
        <v>4</v>
      </c>
      <c r="L284" s="15">
        <v>3505</v>
      </c>
      <c r="M284" s="15">
        <v>14020</v>
      </c>
      <c r="N284" s="16">
        <v>5</v>
      </c>
      <c r="O284" s="15">
        <v>701</v>
      </c>
      <c r="P284" s="15">
        <v>13319</v>
      </c>
      <c r="Q284" s="15">
        <v>7171</v>
      </c>
      <c r="R284" s="15">
        <v>6148</v>
      </c>
      <c r="S284" s="12">
        <v>1</v>
      </c>
      <c r="T284" s="15">
        <v>3330</v>
      </c>
      <c r="U284" s="17">
        <v>4.9000000000000004</v>
      </c>
    </row>
    <row r="285" spans="1:21" x14ac:dyDescent="0.35">
      <c r="A285" s="18" t="s">
        <v>398</v>
      </c>
      <c r="B285" s="12" t="str">
        <f t="shared" si="4"/>
        <v>August</v>
      </c>
      <c r="C285" s="19">
        <v>45147</v>
      </c>
      <c r="D285" s="20" t="s">
        <v>97</v>
      </c>
      <c r="E285" s="20" t="s">
        <v>48</v>
      </c>
      <c r="F285" s="20" t="s">
        <v>111</v>
      </c>
      <c r="G285" s="20" t="s">
        <v>57</v>
      </c>
      <c r="H285" s="20" t="s">
        <v>68</v>
      </c>
      <c r="I285" s="20" t="s">
        <v>67</v>
      </c>
      <c r="J285" s="20" t="s">
        <v>95</v>
      </c>
      <c r="K285" s="18">
        <v>2</v>
      </c>
      <c r="L285" s="21">
        <v>1840</v>
      </c>
      <c r="M285" s="21">
        <v>3680</v>
      </c>
      <c r="N285" s="22">
        <v>20</v>
      </c>
      <c r="O285" s="21">
        <v>736</v>
      </c>
      <c r="P285" s="21">
        <v>2944</v>
      </c>
      <c r="Q285" s="21">
        <v>1550</v>
      </c>
      <c r="R285" s="21">
        <v>1394</v>
      </c>
      <c r="S285" s="18">
        <v>1</v>
      </c>
      <c r="T285" s="21">
        <v>1472</v>
      </c>
      <c r="U285" s="23">
        <v>2.9</v>
      </c>
    </row>
    <row r="286" spans="1:21" x14ac:dyDescent="0.35">
      <c r="A286" s="12" t="s">
        <v>399</v>
      </c>
      <c r="B286" s="12" t="str">
        <f t="shared" si="4"/>
        <v>August</v>
      </c>
      <c r="C286" s="13">
        <v>45147</v>
      </c>
      <c r="D286" s="14" t="s">
        <v>122</v>
      </c>
      <c r="E286" s="14" t="s">
        <v>58</v>
      </c>
      <c r="F286" s="14" t="s">
        <v>116</v>
      </c>
      <c r="G286" s="14" t="s">
        <v>57</v>
      </c>
      <c r="H286" s="14" t="s">
        <v>68</v>
      </c>
      <c r="I286" s="14" t="s">
        <v>71</v>
      </c>
      <c r="J286" s="14" t="s">
        <v>103</v>
      </c>
      <c r="K286" s="12">
        <v>4</v>
      </c>
      <c r="L286" s="15">
        <v>1113</v>
      </c>
      <c r="M286" s="15">
        <v>4452</v>
      </c>
      <c r="N286" s="16">
        <v>5</v>
      </c>
      <c r="O286" s="15">
        <v>223</v>
      </c>
      <c r="P286" s="15">
        <v>4229</v>
      </c>
      <c r="Q286" s="15">
        <v>2685</v>
      </c>
      <c r="R286" s="15">
        <v>1544</v>
      </c>
      <c r="S286" s="12">
        <v>1</v>
      </c>
      <c r="T286" s="15">
        <v>1057</v>
      </c>
      <c r="U286" s="17">
        <v>2.8</v>
      </c>
    </row>
    <row r="287" spans="1:21" x14ac:dyDescent="0.35">
      <c r="A287" s="18" t="s">
        <v>400</v>
      </c>
      <c r="B287" s="12" t="str">
        <f t="shared" si="4"/>
        <v>August</v>
      </c>
      <c r="C287" s="19">
        <v>45148</v>
      </c>
      <c r="D287" s="20" t="s">
        <v>115</v>
      </c>
      <c r="E287" s="20" t="s">
        <v>48</v>
      </c>
      <c r="F287" s="20" t="s">
        <v>151</v>
      </c>
      <c r="G287" s="20" t="s">
        <v>49</v>
      </c>
      <c r="H287" s="20" t="s">
        <v>66</v>
      </c>
      <c r="I287" s="20" t="s">
        <v>70</v>
      </c>
      <c r="J287" s="20" t="s">
        <v>99</v>
      </c>
      <c r="K287" s="18">
        <v>3</v>
      </c>
      <c r="L287" s="21">
        <v>1060</v>
      </c>
      <c r="M287" s="21">
        <v>3180</v>
      </c>
      <c r="N287" s="22">
        <v>15</v>
      </c>
      <c r="O287" s="21">
        <v>477</v>
      </c>
      <c r="P287" s="21">
        <v>2703</v>
      </c>
      <c r="Q287" s="21">
        <v>1450</v>
      </c>
      <c r="R287" s="21">
        <v>1253</v>
      </c>
      <c r="S287" s="18">
        <v>1</v>
      </c>
      <c r="T287" s="21">
        <v>901</v>
      </c>
      <c r="U287" s="23">
        <v>4.5999999999999996</v>
      </c>
    </row>
    <row r="288" spans="1:21" x14ac:dyDescent="0.35">
      <c r="A288" s="12" t="s">
        <v>401</v>
      </c>
      <c r="B288" s="12" t="str">
        <f t="shared" si="4"/>
        <v>August</v>
      </c>
      <c r="C288" s="13">
        <v>45150</v>
      </c>
      <c r="D288" s="14" t="s">
        <v>122</v>
      </c>
      <c r="E288" s="14" t="s">
        <v>50</v>
      </c>
      <c r="F288" s="14" t="s">
        <v>151</v>
      </c>
      <c r="G288" s="14" t="s">
        <v>55</v>
      </c>
      <c r="H288" s="14" t="s">
        <v>68</v>
      </c>
      <c r="I288" s="14" t="s">
        <v>65</v>
      </c>
      <c r="J288" s="14" t="s">
        <v>103</v>
      </c>
      <c r="K288" s="12">
        <v>3</v>
      </c>
      <c r="L288" s="15">
        <v>4249</v>
      </c>
      <c r="M288" s="15">
        <v>12747</v>
      </c>
      <c r="N288" s="16">
        <v>10</v>
      </c>
      <c r="O288" s="15">
        <v>1275</v>
      </c>
      <c r="P288" s="15">
        <v>11472</v>
      </c>
      <c r="Q288" s="15">
        <v>7975</v>
      </c>
      <c r="R288" s="15">
        <v>3497</v>
      </c>
      <c r="S288" s="12">
        <v>0</v>
      </c>
      <c r="T288" s="15">
        <v>0</v>
      </c>
      <c r="U288" s="17">
        <v>4.8</v>
      </c>
    </row>
    <row r="289" spans="1:21" x14ac:dyDescent="0.35">
      <c r="A289" s="18" t="s">
        <v>402</v>
      </c>
      <c r="B289" s="12" t="str">
        <f t="shared" si="4"/>
        <v>August</v>
      </c>
      <c r="C289" s="19">
        <v>45150</v>
      </c>
      <c r="D289" s="20" t="s">
        <v>105</v>
      </c>
      <c r="E289" s="20" t="s">
        <v>50</v>
      </c>
      <c r="F289" s="20" t="s">
        <v>124</v>
      </c>
      <c r="G289" s="20" t="s">
        <v>55</v>
      </c>
      <c r="H289" s="20" t="s">
        <v>68</v>
      </c>
      <c r="I289" s="20" t="s">
        <v>70</v>
      </c>
      <c r="J289" s="20" t="s">
        <v>99</v>
      </c>
      <c r="K289" s="18">
        <v>12</v>
      </c>
      <c r="L289" s="21">
        <v>2637</v>
      </c>
      <c r="M289" s="21">
        <v>31644</v>
      </c>
      <c r="N289" s="22">
        <v>50</v>
      </c>
      <c r="O289" s="21">
        <v>15822</v>
      </c>
      <c r="P289" s="21">
        <v>15822</v>
      </c>
      <c r="Q289" s="21">
        <v>8175</v>
      </c>
      <c r="R289" s="21">
        <v>7647</v>
      </c>
      <c r="S289" s="18">
        <v>0</v>
      </c>
      <c r="T289" s="21">
        <v>0</v>
      </c>
      <c r="U289" s="23">
        <v>4.3</v>
      </c>
    </row>
    <row r="290" spans="1:21" x14ac:dyDescent="0.35">
      <c r="A290" s="12" t="s">
        <v>403</v>
      </c>
      <c r="B290" s="12" t="str">
        <f t="shared" si="4"/>
        <v>August</v>
      </c>
      <c r="C290" s="13">
        <v>45150</v>
      </c>
      <c r="D290" s="14" t="s">
        <v>115</v>
      </c>
      <c r="E290" s="14" t="s">
        <v>58</v>
      </c>
      <c r="F290" s="14" t="s">
        <v>124</v>
      </c>
      <c r="G290" s="14" t="s">
        <v>53</v>
      </c>
      <c r="H290" s="14" t="s">
        <v>64</v>
      </c>
      <c r="I290" s="14" t="s">
        <v>71</v>
      </c>
      <c r="J290" s="14" t="s">
        <v>103</v>
      </c>
      <c r="K290" s="12">
        <v>15</v>
      </c>
      <c r="L290" s="15">
        <v>4665</v>
      </c>
      <c r="M290" s="15">
        <v>69975</v>
      </c>
      <c r="N290" s="16">
        <v>25</v>
      </c>
      <c r="O290" s="15">
        <v>17494</v>
      </c>
      <c r="P290" s="15">
        <v>52481</v>
      </c>
      <c r="Q290" s="15">
        <v>26545</v>
      </c>
      <c r="R290" s="15">
        <v>25936</v>
      </c>
      <c r="S290" s="12">
        <v>1</v>
      </c>
      <c r="T290" s="15">
        <v>3499</v>
      </c>
      <c r="U290" s="17">
        <v>3.4</v>
      </c>
    </row>
    <row r="291" spans="1:21" x14ac:dyDescent="0.35">
      <c r="A291" s="18" t="s">
        <v>404</v>
      </c>
      <c r="B291" s="12" t="str">
        <f t="shared" si="4"/>
        <v>August</v>
      </c>
      <c r="C291" s="19">
        <v>45150</v>
      </c>
      <c r="D291" s="20" t="s">
        <v>93</v>
      </c>
      <c r="E291" s="20" t="s">
        <v>50</v>
      </c>
      <c r="F291" s="20" t="s">
        <v>106</v>
      </c>
      <c r="G291" s="20" t="s">
        <v>51</v>
      </c>
      <c r="H291" s="20" t="s">
        <v>66</v>
      </c>
      <c r="I291" s="20" t="s">
        <v>65</v>
      </c>
      <c r="J291" s="20" t="s">
        <v>99</v>
      </c>
      <c r="K291" s="18">
        <v>4</v>
      </c>
      <c r="L291" s="21">
        <v>1535</v>
      </c>
      <c r="M291" s="21">
        <v>6140</v>
      </c>
      <c r="N291" s="22">
        <v>30</v>
      </c>
      <c r="O291" s="21">
        <v>1842</v>
      </c>
      <c r="P291" s="21">
        <v>4298</v>
      </c>
      <c r="Q291" s="21">
        <v>2606</v>
      </c>
      <c r="R291" s="21">
        <v>1692</v>
      </c>
      <c r="S291" s="18">
        <v>1</v>
      </c>
      <c r="T291" s="21">
        <v>1074</v>
      </c>
      <c r="U291" s="23">
        <v>3.2</v>
      </c>
    </row>
    <row r="292" spans="1:21" x14ac:dyDescent="0.35">
      <c r="A292" s="12" t="s">
        <v>405</v>
      </c>
      <c r="B292" s="12" t="str">
        <f t="shared" si="4"/>
        <v>August</v>
      </c>
      <c r="C292" s="13">
        <v>45152</v>
      </c>
      <c r="D292" s="14" t="s">
        <v>131</v>
      </c>
      <c r="E292" s="14" t="s">
        <v>50</v>
      </c>
      <c r="F292" s="14" t="s">
        <v>108</v>
      </c>
      <c r="G292" s="14" t="s">
        <v>55</v>
      </c>
      <c r="H292" s="14" t="s">
        <v>66</v>
      </c>
      <c r="I292" s="14" t="s">
        <v>71</v>
      </c>
      <c r="J292" s="14" t="s">
        <v>99</v>
      </c>
      <c r="K292" s="12">
        <v>3</v>
      </c>
      <c r="L292" s="15">
        <v>4138</v>
      </c>
      <c r="M292" s="15">
        <v>12414</v>
      </c>
      <c r="N292" s="16">
        <v>10</v>
      </c>
      <c r="O292" s="15">
        <v>1241</v>
      </c>
      <c r="P292" s="15">
        <v>11173</v>
      </c>
      <c r="Q292" s="15">
        <v>7466</v>
      </c>
      <c r="R292" s="15">
        <v>3707</v>
      </c>
      <c r="S292" s="12">
        <v>0</v>
      </c>
      <c r="T292" s="15">
        <v>0</v>
      </c>
      <c r="U292" s="17">
        <v>4.0999999999999996</v>
      </c>
    </row>
    <row r="293" spans="1:21" x14ac:dyDescent="0.35">
      <c r="A293" s="18" t="s">
        <v>406</v>
      </c>
      <c r="B293" s="12" t="str">
        <f t="shared" si="4"/>
        <v>August</v>
      </c>
      <c r="C293" s="19">
        <v>45152</v>
      </c>
      <c r="D293" s="20" t="s">
        <v>142</v>
      </c>
      <c r="E293" s="20" t="s">
        <v>50</v>
      </c>
      <c r="F293" s="20" t="s">
        <v>124</v>
      </c>
      <c r="G293" s="20" t="s">
        <v>55</v>
      </c>
      <c r="H293" s="20" t="s">
        <v>64</v>
      </c>
      <c r="I293" s="20" t="s">
        <v>67</v>
      </c>
      <c r="J293" s="20" t="s">
        <v>103</v>
      </c>
      <c r="K293" s="18">
        <v>3</v>
      </c>
      <c r="L293" s="21">
        <v>1768</v>
      </c>
      <c r="M293" s="21">
        <v>5304</v>
      </c>
      <c r="N293" s="22">
        <v>25</v>
      </c>
      <c r="O293" s="21">
        <v>1326</v>
      </c>
      <c r="P293" s="21">
        <v>3978</v>
      </c>
      <c r="Q293" s="21">
        <v>2520</v>
      </c>
      <c r="R293" s="21">
        <v>1458</v>
      </c>
      <c r="S293" s="18">
        <v>1</v>
      </c>
      <c r="T293" s="21">
        <v>1326</v>
      </c>
      <c r="U293" s="23">
        <v>4.9000000000000004</v>
      </c>
    </row>
    <row r="294" spans="1:21" x14ac:dyDescent="0.35">
      <c r="A294" s="12" t="s">
        <v>407</v>
      </c>
      <c r="B294" s="12" t="str">
        <f t="shared" si="4"/>
        <v>August</v>
      </c>
      <c r="C294" s="13">
        <v>45153</v>
      </c>
      <c r="D294" s="14" t="s">
        <v>122</v>
      </c>
      <c r="E294" s="14" t="s">
        <v>48</v>
      </c>
      <c r="F294" s="14" t="s">
        <v>111</v>
      </c>
      <c r="G294" s="14" t="s">
        <v>55</v>
      </c>
      <c r="H294" s="14" t="s">
        <v>64</v>
      </c>
      <c r="I294" s="14" t="s">
        <v>70</v>
      </c>
      <c r="J294" s="14" t="s">
        <v>95</v>
      </c>
      <c r="K294" s="12">
        <v>11</v>
      </c>
      <c r="L294" s="15">
        <v>2056</v>
      </c>
      <c r="M294" s="15">
        <v>22616</v>
      </c>
      <c r="N294" s="16">
        <v>5</v>
      </c>
      <c r="O294" s="15">
        <v>1131</v>
      </c>
      <c r="P294" s="15">
        <v>21485</v>
      </c>
      <c r="Q294" s="15">
        <v>10272</v>
      </c>
      <c r="R294" s="15">
        <v>11213</v>
      </c>
      <c r="S294" s="12">
        <v>0</v>
      </c>
      <c r="T294" s="15">
        <v>0</v>
      </c>
      <c r="U294" s="17">
        <v>3.1</v>
      </c>
    </row>
    <row r="295" spans="1:21" x14ac:dyDescent="0.35">
      <c r="A295" s="18" t="s">
        <v>408</v>
      </c>
      <c r="B295" s="12" t="str">
        <f t="shared" si="4"/>
        <v>August</v>
      </c>
      <c r="C295" s="19">
        <v>45154</v>
      </c>
      <c r="D295" s="20" t="s">
        <v>122</v>
      </c>
      <c r="E295" s="20" t="s">
        <v>48</v>
      </c>
      <c r="F295" s="20" t="s">
        <v>108</v>
      </c>
      <c r="G295" s="20" t="s">
        <v>55</v>
      </c>
      <c r="H295" s="20" t="s">
        <v>64</v>
      </c>
      <c r="I295" s="20" t="s">
        <v>71</v>
      </c>
      <c r="J295" s="20" t="s">
        <v>95</v>
      </c>
      <c r="K295" s="18">
        <v>5</v>
      </c>
      <c r="L295" s="21">
        <v>4837</v>
      </c>
      <c r="M295" s="21">
        <v>24185</v>
      </c>
      <c r="N295" s="22">
        <v>40</v>
      </c>
      <c r="O295" s="21">
        <v>9674</v>
      </c>
      <c r="P295" s="21">
        <v>14511</v>
      </c>
      <c r="Q295" s="21">
        <v>9809</v>
      </c>
      <c r="R295" s="21">
        <v>4702</v>
      </c>
      <c r="S295" s="18">
        <v>0</v>
      </c>
      <c r="T295" s="21">
        <v>0</v>
      </c>
      <c r="U295" s="23">
        <v>3.4</v>
      </c>
    </row>
    <row r="296" spans="1:21" x14ac:dyDescent="0.35">
      <c r="A296" s="12" t="s">
        <v>409</v>
      </c>
      <c r="B296" s="12" t="str">
        <f t="shared" si="4"/>
        <v>August</v>
      </c>
      <c r="C296" s="13">
        <v>45155</v>
      </c>
      <c r="D296" s="14" t="s">
        <v>142</v>
      </c>
      <c r="E296" s="14" t="s">
        <v>59</v>
      </c>
      <c r="F296" s="14" t="s">
        <v>108</v>
      </c>
      <c r="G296" s="14" t="s">
        <v>51</v>
      </c>
      <c r="H296" s="14" t="s">
        <v>64</v>
      </c>
      <c r="I296" s="14" t="s">
        <v>69</v>
      </c>
      <c r="J296" s="14" t="s">
        <v>99</v>
      </c>
      <c r="K296" s="12">
        <v>5</v>
      </c>
      <c r="L296" s="15">
        <v>3998</v>
      </c>
      <c r="M296" s="15">
        <v>19990</v>
      </c>
      <c r="N296" s="16">
        <v>0</v>
      </c>
      <c r="O296" s="15">
        <v>0</v>
      </c>
      <c r="P296" s="15">
        <v>19990</v>
      </c>
      <c r="Q296" s="15">
        <v>9236</v>
      </c>
      <c r="R296" s="15">
        <v>10754</v>
      </c>
      <c r="S296" s="12">
        <v>1</v>
      </c>
      <c r="T296" s="15">
        <v>3998</v>
      </c>
      <c r="U296" s="17">
        <v>4.3</v>
      </c>
    </row>
    <row r="297" spans="1:21" x14ac:dyDescent="0.35">
      <c r="A297" s="18" t="s">
        <v>410</v>
      </c>
      <c r="B297" s="12" t="str">
        <f t="shared" si="4"/>
        <v>August</v>
      </c>
      <c r="C297" s="19">
        <v>45157</v>
      </c>
      <c r="D297" s="20" t="s">
        <v>115</v>
      </c>
      <c r="E297" s="20" t="s">
        <v>59</v>
      </c>
      <c r="F297" s="20" t="s">
        <v>94</v>
      </c>
      <c r="G297" s="20" t="s">
        <v>49</v>
      </c>
      <c r="H297" s="20" t="s">
        <v>66</v>
      </c>
      <c r="I297" s="20" t="s">
        <v>70</v>
      </c>
      <c r="J297" s="20" t="s">
        <v>95</v>
      </c>
      <c r="K297" s="18">
        <v>4</v>
      </c>
      <c r="L297" s="21">
        <v>3625</v>
      </c>
      <c r="M297" s="21">
        <v>14500</v>
      </c>
      <c r="N297" s="22">
        <v>40</v>
      </c>
      <c r="O297" s="21">
        <v>5800</v>
      </c>
      <c r="P297" s="21">
        <v>8700</v>
      </c>
      <c r="Q297" s="21">
        <v>5055</v>
      </c>
      <c r="R297" s="21">
        <v>3645</v>
      </c>
      <c r="S297" s="18">
        <v>0</v>
      </c>
      <c r="T297" s="21">
        <v>0</v>
      </c>
      <c r="U297" s="23">
        <v>3.4</v>
      </c>
    </row>
    <row r="298" spans="1:21" x14ac:dyDescent="0.35">
      <c r="A298" s="12" t="s">
        <v>411</v>
      </c>
      <c r="B298" s="12" t="str">
        <f t="shared" si="4"/>
        <v>August</v>
      </c>
      <c r="C298" s="13">
        <v>45157</v>
      </c>
      <c r="D298" s="14" t="s">
        <v>105</v>
      </c>
      <c r="E298" s="14" t="s">
        <v>54</v>
      </c>
      <c r="F298" s="14" t="s">
        <v>151</v>
      </c>
      <c r="G298" s="14" t="s">
        <v>55</v>
      </c>
      <c r="H298" s="14" t="s">
        <v>64</v>
      </c>
      <c r="I298" s="14" t="s">
        <v>65</v>
      </c>
      <c r="J298" s="14" t="s">
        <v>103</v>
      </c>
      <c r="K298" s="12">
        <v>6</v>
      </c>
      <c r="L298" s="15">
        <v>1407</v>
      </c>
      <c r="M298" s="15">
        <v>8442</v>
      </c>
      <c r="N298" s="16">
        <v>5</v>
      </c>
      <c r="O298" s="15">
        <v>422</v>
      </c>
      <c r="P298" s="15">
        <v>8020</v>
      </c>
      <c r="Q298" s="15">
        <v>4361</v>
      </c>
      <c r="R298" s="15">
        <v>3659</v>
      </c>
      <c r="S298" s="12">
        <v>0</v>
      </c>
      <c r="T298" s="15">
        <v>0</v>
      </c>
      <c r="U298" s="17">
        <v>3.3</v>
      </c>
    </row>
    <row r="299" spans="1:21" x14ac:dyDescent="0.35">
      <c r="A299" s="18" t="s">
        <v>412</v>
      </c>
      <c r="B299" s="12" t="str">
        <f t="shared" si="4"/>
        <v>August</v>
      </c>
      <c r="C299" s="19">
        <v>45157</v>
      </c>
      <c r="D299" s="20" t="s">
        <v>122</v>
      </c>
      <c r="E299" s="20" t="s">
        <v>58</v>
      </c>
      <c r="F299" s="20" t="s">
        <v>94</v>
      </c>
      <c r="G299" s="20" t="s">
        <v>49</v>
      </c>
      <c r="H299" s="20" t="s">
        <v>66</v>
      </c>
      <c r="I299" s="20" t="s">
        <v>70</v>
      </c>
      <c r="J299" s="20" t="s">
        <v>95</v>
      </c>
      <c r="K299" s="18">
        <v>5</v>
      </c>
      <c r="L299" s="21">
        <v>2072</v>
      </c>
      <c r="M299" s="21">
        <v>10360</v>
      </c>
      <c r="N299" s="22">
        <v>0</v>
      </c>
      <c r="O299" s="21">
        <v>0</v>
      </c>
      <c r="P299" s="21">
        <v>10360</v>
      </c>
      <c r="Q299" s="21">
        <v>6925</v>
      </c>
      <c r="R299" s="21">
        <v>3435</v>
      </c>
      <c r="S299" s="18">
        <v>0</v>
      </c>
      <c r="T299" s="21">
        <v>0</v>
      </c>
      <c r="U299" s="23">
        <v>4.5</v>
      </c>
    </row>
    <row r="300" spans="1:21" x14ac:dyDescent="0.35">
      <c r="A300" s="12" t="s">
        <v>413</v>
      </c>
      <c r="B300" s="12" t="str">
        <f t="shared" si="4"/>
        <v>August</v>
      </c>
      <c r="C300" s="13">
        <v>45157</v>
      </c>
      <c r="D300" s="14" t="s">
        <v>93</v>
      </c>
      <c r="E300" s="14" t="s">
        <v>50</v>
      </c>
      <c r="F300" s="14" t="s">
        <v>94</v>
      </c>
      <c r="G300" s="14" t="s">
        <v>51</v>
      </c>
      <c r="H300" s="14" t="s">
        <v>64</v>
      </c>
      <c r="I300" s="14" t="s">
        <v>65</v>
      </c>
      <c r="J300" s="14" t="s">
        <v>103</v>
      </c>
      <c r="K300" s="12">
        <v>1</v>
      </c>
      <c r="L300" s="15">
        <v>3015</v>
      </c>
      <c r="M300" s="15">
        <v>3015</v>
      </c>
      <c r="N300" s="16">
        <v>15</v>
      </c>
      <c r="O300" s="15">
        <v>452</v>
      </c>
      <c r="P300" s="15">
        <v>2563</v>
      </c>
      <c r="Q300" s="15">
        <v>1610</v>
      </c>
      <c r="R300" s="15">
        <v>953</v>
      </c>
      <c r="S300" s="12">
        <v>1</v>
      </c>
      <c r="T300" s="15">
        <v>2563</v>
      </c>
      <c r="U300" s="17">
        <v>3.5</v>
      </c>
    </row>
    <row r="301" spans="1:21" x14ac:dyDescent="0.35">
      <c r="A301" s="18" t="s">
        <v>414</v>
      </c>
      <c r="B301" s="12" t="str">
        <f t="shared" si="4"/>
        <v>August</v>
      </c>
      <c r="C301" s="19">
        <v>45159</v>
      </c>
      <c r="D301" s="20" t="s">
        <v>101</v>
      </c>
      <c r="E301" s="20" t="s">
        <v>59</v>
      </c>
      <c r="F301" s="20" t="s">
        <v>106</v>
      </c>
      <c r="G301" s="20" t="s">
        <v>57</v>
      </c>
      <c r="H301" s="20" t="s">
        <v>64</v>
      </c>
      <c r="I301" s="20" t="s">
        <v>69</v>
      </c>
      <c r="J301" s="20" t="s">
        <v>99</v>
      </c>
      <c r="K301" s="18">
        <v>4</v>
      </c>
      <c r="L301" s="21">
        <v>4946</v>
      </c>
      <c r="M301" s="21">
        <v>19784</v>
      </c>
      <c r="N301" s="22">
        <v>15</v>
      </c>
      <c r="O301" s="21">
        <v>2968</v>
      </c>
      <c r="P301" s="21">
        <v>16816</v>
      </c>
      <c r="Q301" s="21">
        <v>7856</v>
      </c>
      <c r="R301" s="21">
        <v>8960</v>
      </c>
      <c r="S301" s="18">
        <v>0</v>
      </c>
      <c r="T301" s="21">
        <v>0</v>
      </c>
      <c r="U301" s="23">
        <v>4</v>
      </c>
    </row>
    <row r="302" spans="1:21" x14ac:dyDescent="0.35">
      <c r="A302" s="12" t="s">
        <v>415</v>
      </c>
      <c r="B302" s="12" t="str">
        <f t="shared" si="4"/>
        <v>August</v>
      </c>
      <c r="C302" s="13">
        <v>45159</v>
      </c>
      <c r="D302" s="14" t="s">
        <v>113</v>
      </c>
      <c r="E302" s="14" t="s">
        <v>50</v>
      </c>
      <c r="F302" s="14" t="s">
        <v>94</v>
      </c>
      <c r="G302" s="14" t="s">
        <v>57</v>
      </c>
      <c r="H302" s="14" t="s">
        <v>64</v>
      </c>
      <c r="I302" s="14" t="s">
        <v>69</v>
      </c>
      <c r="J302" s="14" t="s">
        <v>103</v>
      </c>
      <c r="K302" s="12">
        <v>8</v>
      </c>
      <c r="L302" s="15">
        <v>3283</v>
      </c>
      <c r="M302" s="15">
        <v>26264</v>
      </c>
      <c r="N302" s="16">
        <v>25</v>
      </c>
      <c r="O302" s="15">
        <v>6566</v>
      </c>
      <c r="P302" s="15">
        <v>19698</v>
      </c>
      <c r="Q302" s="15">
        <v>13050</v>
      </c>
      <c r="R302" s="15">
        <v>6648</v>
      </c>
      <c r="S302" s="12">
        <v>2</v>
      </c>
      <c r="T302" s="15">
        <v>4924</v>
      </c>
      <c r="U302" s="17">
        <v>3.5</v>
      </c>
    </row>
    <row r="303" spans="1:21" x14ac:dyDescent="0.35">
      <c r="A303" s="18" t="s">
        <v>416</v>
      </c>
      <c r="B303" s="12" t="str">
        <f t="shared" si="4"/>
        <v>August</v>
      </c>
      <c r="C303" s="19">
        <v>45160</v>
      </c>
      <c r="D303" s="20" t="s">
        <v>93</v>
      </c>
      <c r="E303" s="20" t="s">
        <v>54</v>
      </c>
      <c r="F303" s="20" t="s">
        <v>151</v>
      </c>
      <c r="G303" s="20" t="s">
        <v>57</v>
      </c>
      <c r="H303" s="20" t="s">
        <v>66</v>
      </c>
      <c r="I303" s="20" t="s">
        <v>71</v>
      </c>
      <c r="J303" s="20" t="s">
        <v>99</v>
      </c>
      <c r="K303" s="18">
        <v>11</v>
      </c>
      <c r="L303" s="21">
        <v>2592</v>
      </c>
      <c r="M303" s="21">
        <v>28512</v>
      </c>
      <c r="N303" s="22">
        <v>0</v>
      </c>
      <c r="O303" s="21">
        <v>0</v>
      </c>
      <c r="P303" s="21">
        <v>28512</v>
      </c>
      <c r="Q303" s="21">
        <v>16624</v>
      </c>
      <c r="R303" s="21">
        <v>11888</v>
      </c>
      <c r="S303" s="18">
        <v>1</v>
      </c>
      <c r="T303" s="21">
        <v>2592</v>
      </c>
      <c r="U303" s="23">
        <v>2.5</v>
      </c>
    </row>
    <row r="304" spans="1:21" x14ac:dyDescent="0.35">
      <c r="A304" s="12" t="s">
        <v>417</v>
      </c>
      <c r="B304" s="12" t="str">
        <f t="shared" si="4"/>
        <v>August</v>
      </c>
      <c r="C304" s="13">
        <v>45160</v>
      </c>
      <c r="D304" s="14" t="s">
        <v>105</v>
      </c>
      <c r="E304" s="14" t="s">
        <v>58</v>
      </c>
      <c r="F304" s="14" t="s">
        <v>106</v>
      </c>
      <c r="G304" s="14" t="s">
        <v>57</v>
      </c>
      <c r="H304" s="14" t="s">
        <v>68</v>
      </c>
      <c r="I304" s="14" t="s">
        <v>67</v>
      </c>
      <c r="J304" s="14" t="s">
        <v>99</v>
      </c>
      <c r="K304" s="12">
        <v>2</v>
      </c>
      <c r="L304" s="15">
        <v>2358</v>
      </c>
      <c r="M304" s="15">
        <v>4716</v>
      </c>
      <c r="N304" s="16">
        <v>40</v>
      </c>
      <c r="O304" s="15">
        <v>1886</v>
      </c>
      <c r="P304" s="15">
        <v>2830</v>
      </c>
      <c r="Q304" s="15">
        <v>1499</v>
      </c>
      <c r="R304" s="15">
        <v>1331</v>
      </c>
      <c r="S304" s="12">
        <v>1</v>
      </c>
      <c r="T304" s="15">
        <v>1415</v>
      </c>
      <c r="U304" s="17">
        <v>2.6</v>
      </c>
    </row>
    <row r="305" spans="1:21" x14ac:dyDescent="0.35">
      <c r="A305" s="18" t="s">
        <v>418</v>
      </c>
      <c r="B305" s="12" t="str">
        <f t="shared" si="4"/>
        <v>August</v>
      </c>
      <c r="C305" s="19">
        <v>45160</v>
      </c>
      <c r="D305" s="20" t="s">
        <v>101</v>
      </c>
      <c r="E305" s="20" t="s">
        <v>59</v>
      </c>
      <c r="F305" s="20" t="s">
        <v>94</v>
      </c>
      <c r="G305" s="20" t="s">
        <v>51</v>
      </c>
      <c r="H305" s="20" t="s">
        <v>68</v>
      </c>
      <c r="I305" s="20" t="s">
        <v>71</v>
      </c>
      <c r="J305" s="20" t="s">
        <v>99</v>
      </c>
      <c r="K305" s="18">
        <v>12</v>
      </c>
      <c r="L305" s="21">
        <v>3226</v>
      </c>
      <c r="M305" s="21">
        <v>38712</v>
      </c>
      <c r="N305" s="22">
        <v>40</v>
      </c>
      <c r="O305" s="21">
        <v>15485</v>
      </c>
      <c r="P305" s="21">
        <v>23227</v>
      </c>
      <c r="Q305" s="21">
        <v>12591</v>
      </c>
      <c r="R305" s="21">
        <v>10636</v>
      </c>
      <c r="S305" s="18">
        <v>3</v>
      </c>
      <c r="T305" s="21">
        <v>5807</v>
      </c>
      <c r="U305" s="23">
        <v>5</v>
      </c>
    </row>
    <row r="306" spans="1:21" x14ac:dyDescent="0.35">
      <c r="A306" s="12" t="s">
        <v>419</v>
      </c>
      <c r="B306" s="12" t="str">
        <f t="shared" si="4"/>
        <v>August</v>
      </c>
      <c r="C306" s="13">
        <v>45161</v>
      </c>
      <c r="D306" s="14" t="s">
        <v>142</v>
      </c>
      <c r="E306" s="14" t="s">
        <v>59</v>
      </c>
      <c r="F306" s="14" t="s">
        <v>102</v>
      </c>
      <c r="G306" s="14" t="s">
        <v>55</v>
      </c>
      <c r="H306" s="14" t="s">
        <v>68</v>
      </c>
      <c r="I306" s="14" t="s">
        <v>69</v>
      </c>
      <c r="J306" s="14" t="s">
        <v>95</v>
      </c>
      <c r="K306" s="12">
        <v>11</v>
      </c>
      <c r="L306" s="15">
        <v>1290</v>
      </c>
      <c r="M306" s="15">
        <v>14190</v>
      </c>
      <c r="N306" s="16">
        <v>5</v>
      </c>
      <c r="O306" s="15">
        <v>710</v>
      </c>
      <c r="P306" s="15">
        <v>13480</v>
      </c>
      <c r="Q306" s="15">
        <v>7163</v>
      </c>
      <c r="R306" s="15">
        <v>6317</v>
      </c>
      <c r="S306" s="12">
        <v>2</v>
      </c>
      <c r="T306" s="15">
        <v>2451</v>
      </c>
      <c r="U306" s="17">
        <v>4.7</v>
      </c>
    </row>
    <row r="307" spans="1:21" x14ac:dyDescent="0.35">
      <c r="A307" s="18" t="s">
        <v>420</v>
      </c>
      <c r="B307" s="12" t="str">
        <f t="shared" si="4"/>
        <v>August</v>
      </c>
      <c r="C307" s="19">
        <v>45161</v>
      </c>
      <c r="D307" s="20" t="s">
        <v>115</v>
      </c>
      <c r="E307" s="20" t="s">
        <v>48</v>
      </c>
      <c r="F307" s="20" t="s">
        <v>151</v>
      </c>
      <c r="G307" s="20" t="s">
        <v>49</v>
      </c>
      <c r="H307" s="20" t="s">
        <v>64</v>
      </c>
      <c r="I307" s="20" t="s">
        <v>71</v>
      </c>
      <c r="J307" s="20" t="s">
        <v>99</v>
      </c>
      <c r="K307" s="18">
        <v>6</v>
      </c>
      <c r="L307" s="21">
        <v>2602</v>
      </c>
      <c r="M307" s="21">
        <v>15612</v>
      </c>
      <c r="N307" s="22">
        <v>10</v>
      </c>
      <c r="O307" s="21">
        <v>1561</v>
      </c>
      <c r="P307" s="21">
        <v>14051</v>
      </c>
      <c r="Q307" s="21">
        <v>6387</v>
      </c>
      <c r="R307" s="21">
        <v>7664</v>
      </c>
      <c r="S307" s="18">
        <v>1</v>
      </c>
      <c r="T307" s="21">
        <v>2342</v>
      </c>
      <c r="U307" s="23">
        <v>3.4</v>
      </c>
    </row>
    <row r="308" spans="1:21" x14ac:dyDescent="0.35">
      <c r="A308" s="12" t="s">
        <v>421</v>
      </c>
      <c r="B308" s="12" t="str">
        <f t="shared" si="4"/>
        <v>August</v>
      </c>
      <c r="C308" s="13">
        <v>45162</v>
      </c>
      <c r="D308" s="14" t="s">
        <v>113</v>
      </c>
      <c r="E308" s="14" t="s">
        <v>50</v>
      </c>
      <c r="F308" s="14" t="s">
        <v>134</v>
      </c>
      <c r="G308" s="14" t="s">
        <v>55</v>
      </c>
      <c r="H308" s="14" t="s">
        <v>64</v>
      </c>
      <c r="I308" s="14" t="s">
        <v>65</v>
      </c>
      <c r="J308" s="14" t="s">
        <v>99</v>
      </c>
      <c r="K308" s="12">
        <v>6</v>
      </c>
      <c r="L308" s="15">
        <v>857</v>
      </c>
      <c r="M308" s="15">
        <v>5142</v>
      </c>
      <c r="N308" s="16">
        <v>40</v>
      </c>
      <c r="O308" s="15">
        <v>2057</v>
      </c>
      <c r="P308" s="15">
        <v>3085</v>
      </c>
      <c r="Q308" s="15">
        <v>1963</v>
      </c>
      <c r="R308" s="15">
        <v>1122</v>
      </c>
      <c r="S308" s="12">
        <v>0</v>
      </c>
      <c r="T308" s="15">
        <v>0</v>
      </c>
      <c r="U308" s="17">
        <v>2.8</v>
      </c>
    </row>
    <row r="309" spans="1:21" x14ac:dyDescent="0.35">
      <c r="A309" s="18" t="s">
        <v>422</v>
      </c>
      <c r="B309" s="12" t="str">
        <f t="shared" si="4"/>
        <v>August</v>
      </c>
      <c r="C309" s="19">
        <v>45163</v>
      </c>
      <c r="D309" s="20" t="s">
        <v>142</v>
      </c>
      <c r="E309" s="20" t="s">
        <v>50</v>
      </c>
      <c r="F309" s="20" t="s">
        <v>151</v>
      </c>
      <c r="G309" s="20" t="s">
        <v>51</v>
      </c>
      <c r="H309" s="20" t="s">
        <v>66</v>
      </c>
      <c r="I309" s="20" t="s">
        <v>67</v>
      </c>
      <c r="J309" s="20" t="s">
        <v>103</v>
      </c>
      <c r="K309" s="18">
        <v>13</v>
      </c>
      <c r="L309" s="21">
        <v>2642</v>
      </c>
      <c r="M309" s="21">
        <v>34346</v>
      </c>
      <c r="N309" s="22">
        <v>40</v>
      </c>
      <c r="O309" s="21">
        <v>13738</v>
      </c>
      <c r="P309" s="21">
        <v>20608</v>
      </c>
      <c r="Q309" s="21">
        <v>13189</v>
      </c>
      <c r="R309" s="21">
        <v>7419</v>
      </c>
      <c r="S309" s="18">
        <v>1</v>
      </c>
      <c r="T309" s="21">
        <v>1585</v>
      </c>
      <c r="U309" s="23">
        <v>3.2</v>
      </c>
    </row>
    <row r="310" spans="1:21" x14ac:dyDescent="0.35">
      <c r="A310" s="12" t="s">
        <v>423</v>
      </c>
      <c r="B310" s="12" t="str">
        <f t="shared" si="4"/>
        <v>August</v>
      </c>
      <c r="C310" s="13">
        <v>45163</v>
      </c>
      <c r="D310" s="14" t="s">
        <v>142</v>
      </c>
      <c r="E310" s="14" t="s">
        <v>59</v>
      </c>
      <c r="F310" s="14" t="s">
        <v>111</v>
      </c>
      <c r="G310" s="14" t="s">
        <v>55</v>
      </c>
      <c r="H310" s="14" t="s">
        <v>66</v>
      </c>
      <c r="I310" s="14" t="s">
        <v>67</v>
      </c>
      <c r="J310" s="14" t="s">
        <v>103</v>
      </c>
      <c r="K310" s="12">
        <v>12</v>
      </c>
      <c r="L310" s="15">
        <v>1584</v>
      </c>
      <c r="M310" s="15">
        <v>19008</v>
      </c>
      <c r="N310" s="16">
        <v>40</v>
      </c>
      <c r="O310" s="15">
        <v>7603</v>
      </c>
      <c r="P310" s="15">
        <v>11405</v>
      </c>
      <c r="Q310" s="15">
        <v>7927</v>
      </c>
      <c r="R310" s="15">
        <v>3478</v>
      </c>
      <c r="S310" s="12">
        <v>1</v>
      </c>
      <c r="T310" s="15">
        <v>950</v>
      </c>
      <c r="U310" s="17">
        <v>3.6</v>
      </c>
    </row>
    <row r="311" spans="1:21" x14ac:dyDescent="0.35">
      <c r="A311" s="18" t="s">
        <v>424</v>
      </c>
      <c r="B311" s="12" t="str">
        <f t="shared" si="4"/>
        <v>August</v>
      </c>
      <c r="C311" s="19">
        <v>45163</v>
      </c>
      <c r="D311" s="20" t="s">
        <v>122</v>
      </c>
      <c r="E311" s="20" t="s">
        <v>50</v>
      </c>
      <c r="F311" s="20" t="s">
        <v>134</v>
      </c>
      <c r="G311" s="20" t="s">
        <v>55</v>
      </c>
      <c r="H311" s="20" t="s">
        <v>64</v>
      </c>
      <c r="I311" s="20" t="s">
        <v>71</v>
      </c>
      <c r="J311" s="20" t="s">
        <v>95</v>
      </c>
      <c r="K311" s="18">
        <v>9</v>
      </c>
      <c r="L311" s="21">
        <v>1046</v>
      </c>
      <c r="M311" s="21">
        <v>9414</v>
      </c>
      <c r="N311" s="22">
        <v>40</v>
      </c>
      <c r="O311" s="21">
        <v>3766</v>
      </c>
      <c r="P311" s="21">
        <v>5648</v>
      </c>
      <c r="Q311" s="21">
        <v>3084</v>
      </c>
      <c r="R311" s="21">
        <v>2564</v>
      </c>
      <c r="S311" s="18">
        <v>1</v>
      </c>
      <c r="T311" s="21">
        <v>628</v>
      </c>
      <c r="U311" s="23">
        <v>3</v>
      </c>
    </row>
    <row r="312" spans="1:21" x14ac:dyDescent="0.35">
      <c r="A312" s="12" t="s">
        <v>425</v>
      </c>
      <c r="B312" s="12" t="str">
        <f t="shared" si="4"/>
        <v>August</v>
      </c>
      <c r="C312" s="13">
        <v>45164</v>
      </c>
      <c r="D312" s="14" t="s">
        <v>97</v>
      </c>
      <c r="E312" s="14" t="s">
        <v>59</v>
      </c>
      <c r="F312" s="14" t="s">
        <v>102</v>
      </c>
      <c r="G312" s="14" t="s">
        <v>51</v>
      </c>
      <c r="H312" s="14" t="s">
        <v>64</v>
      </c>
      <c r="I312" s="14" t="s">
        <v>65</v>
      </c>
      <c r="J312" s="14" t="s">
        <v>95</v>
      </c>
      <c r="K312" s="12">
        <v>13</v>
      </c>
      <c r="L312" s="15">
        <v>2483</v>
      </c>
      <c r="M312" s="15">
        <v>32279</v>
      </c>
      <c r="N312" s="16">
        <v>50</v>
      </c>
      <c r="O312" s="15">
        <v>16140</v>
      </c>
      <c r="P312" s="15">
        <v>16139</v>
      </c>
      <c r="Q312" s="15">
        <v>11248</v>
      </c>
      <c r="R312" s="15">
        <v>4891</v>
      </c>
      <c r="S312" s="12">
        <v>2</v>
      </c>
      <c r="T312" s="15">
        <v>2483</v>
      </c>
      <c r="U312" s="17">
        <v>4.9000000000000004</v>
      </c>
    </row>
    <row r="313" spans="1:21" x14ac:dyDescent="0.35">
      <c r="A313" s="18" t="s">
        <v>426</v>
      </c>
      <c r="B313" s="12" t="str">
        <f t="shared" si="4"/>
        <v>August</v>
      </c>
      <c r="C313" s="19">
        <v>45164</v>
      </c>
      <c r="D313" s="20" t="s">
        <v>120</v>
      </c>
      <c r="E313" s="20" t="s">
        <v>54</v>
      </c>
      <c r="F313" s="20" t="s">
        <v>102</v>
      </c>
      <c r="G313" s="20" t="s">
        <v>49</v>
      </c>
      <c r="H313" s="20" t="s">
        <v>68</v>
      </c>
      <c r="I313" s="20" t="s">
        <v>70</v>
      </c>
      <c r="J313" s="20" t="s">
        <v>99</v>
      </c>
      <c r="K313" s="18">
        <v>7</v>
      </c>
      <c r="L313" s="21">
        <v>626</v>
      </c>
      <c r="M313" s="21">
        <v>4382</v>
      </c>
      <c r="N313" s="22">
        <v>5</v>
      </c>
      <c r="O313" s="21">
        <v>219</v>
      </c>
      <c r="P313" s="21">
        <v>4163</v>
      </c>
      <c r="Q313" s="21">
        <v>2587</v>
      </c>
      <c r="R313" s="21">
        <v>1576</v>
      </c>
      <c r="S313" s="18">
        <v>1</v>
      </c>
      <c r="T313" s="21">
        <v>595</v>
      </c>
      <c r="U313" s="23">
        <v>3.3</v>
      </c>
    </row>
    <row r="314" spans="1:21" x14ac:dyDescent="0.35">
      <c r="A314" s="12" t="s">
        <v>427</v>
      </c>
      <c r="B314" s="12" t="str">
        <f t="shared" si="4"/>
        <v>August</v>
      </c>
      <c r="C314" s="13">
        <v>45167</v>
      </c>
      <c r="D314" s="14" t="s">
        <v>93</v>
      </c>
      <c r="E314" s="14" t="s">
        <v>54</v>
      </c>
      <c r="F314" s="14" t="s">
        <v>151</v>
      </c>
      <c r="G314" s="14" t="s">
        <v>51</v>
      </c>
      <c r="H314" s="14" t="s">
        <v>68</v>
      </c>
      <c r="I314" s="14" t="s">
        <v>67</v>
      </c>
      <c r="J314" s="14" t="s">
        <v>103</v>
      </c>
      <c r="K314" s="12">
        <v>14</v>
      </c>
      <c r="L314" s="15">
        <v>2433</v>
      </c>
      <c r="M314" s="15">
        <v>34062</v>
      </c>
      <c r="N314" s="16">
        <v>15</v>
      </c>
      <c r="O314" s="15">
        <v>5109</v>
      </c>
      <c r="P314" s="15">
        <v>28953</v>
      </c>
      <c r="Q314" s="15">
        <v>19716</v>
      </c>
      <c r="R314" s="15">
        <v>9237</v>
      </c>
      <c r="S314" s="12">
        <v>1</v>
      </c>
      <c r="T314" s="15">
        <v>2068</v>
      </c>
      <c r="U314" s="17">
        <v>3.6</v>
      </c>
    </row>
    <row r="315" spans="1:21" x14ac:dyDescent="0.35">
      <c r="A315" s="18" t="s">
        <v>428</v>
      </c>
      <c r="B315" s="12" t="str">
        <f t="shared" si="4"/>
        <v>August</v>
      </c>
      <c r="C315" s="19">
        <v>45167</v>
      </c>
      <c r="D315" s="20" t="s">
        <v>113</v>
      </c>
      <c r="E315" s="20" t="s">
        <v>59</v>
      </c>
      <c r="F315" s="20" t="s">
        <v>134</v>
      </c>
      <c r="G315" s="20" t="s">
        <v>57</v>
      </c>
      <c r="H315" s="20" t="s">
        <v>66</v>
      </c>
      <c r="I315" s="20" t="s">
        <v>69</v>
      </c>
      <c r="J315" s="20" t="s">
        <v>99</v>
      </c>
      <c r="K315" s="18">
        <v>15</v>
      </c>
      <c r="L315" s="21">
        <v>1213</v>
      </c>
      <c r="M315" s="21">
        <v>18195</v>
      </c>
      <c r="N315" s="22">
        <v>5</v>
      </c>
      <c r="O315" s="21">
        <v>910</v>
      </c>
      <c r="P315" s="21">
        <v>17285</v>
      </c>
      <c r="Q315" s="21">
        <v>11527</v>
      </c>
      <c r="R315" s="21">
        <v>5758</v>
      </c>
      <c r="S315" s="18">
        <v>3</v>
      </c>
      <c r="T315" s="21">
        <v>3457</v>
      </c>
      <c r="U315" s="23">
        <v>3.8</v>
      </c>
    </row>
    <row r="316" spans="1:21" x14ac:dyDescent="0.35">
      <c r="A316" s="12" t="s">
        <v>429</v>
      </c>
      <c r="B316" s="12" t="str">
        <f t="shared" si="4"/>
        <v>August</v>
      </c>
      <c r="C316" s="13">
        <v>45168</v>
      </c>
      <c r="D316" s="14" t="s">
        <v>105</v>
      </c>
      <c r="E316" s="14" t="s">
        <v>59</v>
      </c>
      <c r="F316" s="14" t="s">
        <v>134</v>
      </c>
      <c r="G316" s="14" t="s">
        <v>57</v>
      </c>
      <c r="H316" s="14" t="s">
        <v>68</v>
      </c>
      <c r="I316" s="14" t="s">
        <v>71</v>
      </c>
      <c r="J316" s="14" t="s">
        <v>95</v>
      </c>
      <c r="K316" s="12">
        <v>11</v>
      </c>
      <c r="L316" s="15">
        <v>596</v>
      </c>
      <c r="M316" s="15">
        <v>6556</v>
      </c>
      <c r="N316" s="16">
        <v>40</v>
      </c>
      <c r="O316" s="15">
        <v>2622</v>
      </c>
      <c r="P316" s="15">
        <v>3934</v>
      </c>
      <c r="Q316" s="15">
        <v>2665</v>
      </c>
      <c r="R316" s="15">
        <v>1269</v>
      </c>
      <c r="S316" s="12">
        <v>1</v>
      </c>
      <c r="T316" s="15">
        <v>358</v>
      </c>
      <c r="U316" s="17">
        <v>4.0999999999999996</v>
      </c>
    </row>
    <row r="317" spans="1:21" x14ac:dyDescent="0.35">
      <c r="A317" s="18" t="s">
        <v>430</v>
      </c>
      <c r="B317" s="12" t="str">
        <f t="shared" si="4"/>
        <v>August</v>
      </c>
      <c r="C317" s="19">
        <v>45168</v>
      </c>
      <c r="D317" s="20" t="s">
        <v>113</v>
      </c>
      <c r="E317" s="20" t="s">
        <v>59</v>
      </c>
      <c r="F317" s="20" t="s">
        <v>108</v>
      </c>
      <c r="G317" s="20" t="s">
        <v>55</v>
      </c>
      <c r="H317" s="20" t="s">
        <v>64</v>
      </c>
      <c r="I317" s="20" t="s">
        <v>70</v>
      </c>
      <c r="J317" s="20" t="s">
        <v>103</v>
      </c>
      <c r="K317" s="18">
        <v>12</v>
      </c>
      <c r="L317" s="21">
        <v>3335</v>
      </c>
      <c r="M317" s="21">
        <v>40020</v>
      </c>
      <c r="N317" s="22">
        <v>30</v>
      </c>
      <c r="O317" s="21">
        <v>12006</v>
      </c>
      <c r="P317" s="21">
        <v>28014</v>
      </c>
      <c r="Q317" s="21">
        <v>15229</v>
      </c>
      <c r="R317" s="21">
        <v>12785</v>
      </c>
      <c r="S317" s="18">
        <v>3</v>
      </c>
      <c r="T317" s="21">
        <v>7004</v>
      </c>
      <c r="U317" s="23">
        <v>3.6</v>
      </c>
    </row>
    <row r="318" spans="1:21" x14ac:dyDescent="0.35">
      <c r="A318" s="12" t="s">
        <v>431</v>
      </c>
      <c r="B318" s="12" t="str">
        <f t="shared" si="4"/>
        <v>August</v>
      </c>
      <c r="C318" s="13">
        <v>45168</v>
      </c>
      <c r="D318" s="14" t="s">
        <v>142</v>
      </c>
      <c r="E318" s="14" t="s">
        <v>48</v>
      </c>
      <c r="F318" s="14" t="s">
        <v>151</v>
      </c>
      <c r="G318" s="14" t="s">
        <v>51</v>
      </c>
      <c r="H318" s="14" t="s">
        <v>66</v>
      </c>
      <c r="I318" s="14" t="s">
        <v>70</v>
      </c>
      <c r="J318" s="14" t="s">
        <v>95</v>
      </c>
      <c r="K318" s="12">
        <v>3</v>
      </c>
      <c r="L318" s="15">
        <v>3273</v>
      </c>
      <c r="M318" s="15">
        <v>9819</v>
      </c>
      <c r="N318" s="16">
        <v>20</v>
      </c>
      <c r="O318" s="15">
        <v>1964</v>
      </c>
      <c r="P318" s="15">
        <v>7855</v>
      </c>
      <c r="Q318" s="15">
        <v>5146</v>
      </c>
      <c r="R318" s="15">
        <v>2709</v>
      </c>
      <c r="S318" s="12">
        <v>0</v>
      </c>
      <c r="T318" s="15">
        <v>0</v>
      </c>
      <c r="U318" s="17">
        <v>3.6</v>
      </c>
    </row>
    <row r="319" spans="1:21" x14ac:dyDescent="0.35">
      <c r="A319" s="18" t="s">
        <v>432</v>
      </c>
      <c r="B319" s="12" t="str">
        <f t="shared" si="4"/>
        <v>August</v>
      </c>
      <c r="C319" s="19">
        <v>45169</v>
      </c>
      <c r="D319" s="20" t="s">
        <v>122</v>
      </c>
      <c r="E319" s="20" t="s">
        <v>48</v>
      </c>
      <c r="F319" s="20" t="s">
        <v>102</v>
      </c>
      <c r="G319" s="20" t="s">
        <v>53</v>
      </c>
      <c r="H319" s="20" t="s">
        <v>68</v>
      </c>
      <c r="I319" s="20" t="s">
        <v>70</v>
      </c>
      <c r="J319" s="20" t="s">
        <v>99</v>
      </c>
      <c r="K319" s="18">
        <v>12</v>
      </c>
      <c r="L319" s="21">
        <v>4204</v>
      </c>
      <c r="M319" s="21">
        <v>50448</v>
      </c>
      <c r="N319" s="22">
        <v>5</v>
      </c>
      <c r="O319" s="21">
        <v>2522</v>
      </c>
      <c r="P319" s="21">
        <v>47926</v>
      </c>
      <c r="Q319" s="21">
        <v>24982</v>
      </c>
      <c r="R319" s="21">
        <v>22944</v>
      </c>
      <c r="S319" s="18">
        <v>3</v>
      </c>
      <c r="T319" s="21">
        <v>11981</v>
      </c>
      <c r="U319" s="23">
        <v>2.6</v>
      </c>
    </row>
    <row r="320" spans="1:21" x14ac:dyDescent="0.35">
      <c r="A320" s="12" t="s">
        <v>433</v>
      </c>
      <c r="B320" s="12" t="str">
        <f t="shared" si="4"/>
        <v>September</v>
      </c>
      <c r="C320" s="13">
        <v>45170</v>
      </c>
      <c r="D320" s="14" t="s">
        <v>97</v>
      </c>
      <c r="E320" s="14" t="s">
        <v>48</v>
      </c>
      <c r="F320" s="14" t="s">
        <v>151</v>
      </c>
      <c r="G320" s="14" t="s">
        <v>57</v>
      </c>
      <c r="H320" s="14" t="s">
        <v>68</v>
      </c>
      <c r="I320" s="14" t="s">
        <v>67</v>
      </c>
      <c r="J320" s="14" t="s">
        <v>95</v>
      </c>
      <c r="K320" s="12">
        <v>7</v>
      </c>
      <c r="L320" s="15">
        <v>2658</v>
      </c>
      <c r="M320" s="15">
        <v>18606</v>
      </c>
      <c r="N320" s="16">
        <v>10</v>
      </c>
      <c r="O320" s="15">
        <v>1861</v>
      </c>
      <c r="P320" s="15">
        <v>16745</v>
      </c>
      <c r="Q320" s="15">
        <v>10725</v>
      </c>
      <c r="R320" s="15">
        <v>6020</v>
      </c>
      <c r="S320" s="12">
        <v>1</v>
      </c>
      <c r="T320" s="15">
        <v>2392</v>
      </c>
      <c r="U320" s="17">
        <v>3.9</v>
      </c>
    </row>
    <row r="321" spans="1:21" x14ac:dyDescent="0.35">
      <c r="A321" s="18" t="s">
        <v>434</v>
      </c>
      <c r="B321" s="12" t="str">
        <f t="shared" si="4"/>
        <v>September</v>
      </c>
      <c r="C321" s="19">
        <v>45170</v>
      </c>
      <c r="D321" s="20" t="s">
        <v>131</v>
      </c>
      <c r="E321" s="20" t="s">
        <v>56</v>
      </c>
      <c r="F321" s="20" t="s">
        <v>102</v>
      </c>
      <c r="G321" s="20" t="s">
        <v>51</v>
      </c>
      <c r="H321" s="20" t="s">
        <v>68</v>
      </c>
      <c r="I321" s="20" t="s">
        <v>65</v>
      </c>
      <c r="J321" s="20" t="s">
        <v>99</v>
      </c>
      <c r="K321" s="18">
        <v>5</v>
      </c>
      <c r="L321" s="21">
        <v>981</v>
      </c>
      <c r="M321" s="21">
        <v>4905</v>
      </c>
      <c r="N321" s="22">
        <v>30</v>
      </c>
      <c r="O321" s="21">
        <v>1472</v>
      </c>
      <c r="P321" s="21">
        <v>3433</v>
      </c>
      <c r="Q321" s="21">
        <v>1555</v>
      </c>
      <c r="R321" s="21">
        <v>1878</v>
      </c>
      <c r="S321" s="18">
        <v>1</v>
      </c>
      <c r="T321" s="21">
        <v>687</v>
      </c>
      <c r="U321" s="23">
        <v>3.5</v>
      </c>
    </row>
    <row r="322" spans="1:21" x14ac:dyDescent="0.35">
      <c r="A322" s="12" t="s">
        <v>435</v>
      </c>
      <c r="B322" s="12" t="str">
        <f t="shared" ref="B322:B385" si="5">TEXT(C322,"MMMM")</f>
        <v>September</v>
      </c>
      <c r="C322" s="13">
        <v>45172</v>
      </c>
      <c r="D322" s="14" t="s">
        <v>101</v>
      </c>
      <c r="E322" s="14" t="s">
        <v>48</v>
      </c>
      <c r="F322" s="14" t="s">
        <v>116</v>
      </c>
      <c r="G322" s="14" t="s">
        <v>57</v>
      </c>
      <c r="H322" s="14" t="s">
        <v>66</v>
      </c>
      <c r="I322" s="14" t="s">
        <v>65</v>
      </c>
      <c r="J322" s="14" t="s">
        <v>103</v>
      </c>
      <c r="K322" s="12">
        <v>1</v>
      </c>
      <c r="L322" s="15">
        <v>4015</v>
      </c>
      <c r="M322" s="15">
        <v>4015</v>
      </c>
      <c r="N322" s="16">
        <v>25</v>
      </c>
      <c r="O322" s="15">
        <v>1004</v>
      </c>
      <c r="P322" s="15">
        <v>3011</v>
      </c>
      <c r="Q322" s="15">
        <v>1883</v>
      </c>
      <c r="R322" s="15">
        <v>1128</v>
      </c>
      <c r="S322" s="12">
        <v>0</v>
      </c>
      <c r="T322" s="15">
        <v>0</v>
      </c>
      <c r="U322" s="17">
        <v>2.8</v>
      </c>
    </row>
    <row r="323" spans="1:21" x14ac:dyDescent="0.35">
      <c r="A323" s="18" t="s">
        <v>436</v>
      </c>
      <c r="B323" s="12" t="str">
        <f t="shared" si="5"/>
        <v>September</v>
      </c>
      <c r="C323" s="19">
        <v>45172</v>
      </c>
      <c r="D323" s="20" t="s">
        <v>115</v>
      </c>
      <c r="E323" s="20" t="s">
        <v>48</v>
      </c>
      <c r="F323" s="20" t="s">
        <v>124</v>
      </c>
      <c r="G323" s="20" t="s">
        <v>53</v>
      </c>
      <c r="H323" s="20" t="s">
        <v>66</v>
      </c>
      <c r="I323" s="20" t="s">
        <v>71</v>
      </c>
      <c r="J323" s="20" t="s">
        <v>99</v>
      </c>
      <c r="K323" s="18">
        <v>7</v>
      </c>
      <c r="L323" s="21">
        <v>1570</v>
      </c>
      <c r="M323" s="21">
        <v>10990</v>
      </c>
      <c r="N323" s="22">
        <v>0</v>
      </c>
      <c r="O323" s="21">
        <v>0</v>
      </c>
      <c r="P323" s="21">
        <v>10990</v>
      </c>
      <c r="Q323" s="21">
        <v>5822</v>
      </c>
      <c r="R323" s="21">
        <v>5168</v>
      </c>
      <c r="S323" s="18">
        <v>0</v>
      </c>
      <c r="T323" s="21">
        <v>0</v>
      </c>
      <c r="U323" s="23">
        <v>2.6</v>
      </c>
    </row>
    <row r="324" spans="1:21" x14ac:dyDescent="0.35">
      <c r="A324" s="12" t="s">
        <v>437</v>
      </c>
      <c r="B324" s="12" t="str">
        <f t="shared" si="5"/>
        <v>September</v>
      </c>
      <c r="C324" s="13">
        <v>45173</v>
      </c>
      <c r="D324" s="14" t="s">
        <v>97</v>
      </c>
      <c r="E324" s="14" t="s">
        <v>48</v>
      </c>
      <c r="F324" s="14" t="s">
        <v>106</v>
      </c>
      <c r="G324" s="14" t="s">
        <v>49</v>
      </c>
      <c r="H324" s="14" t="s">
        <v>68</v>
      </c>
      <c r="I324" s="14" t="s">
        <v>67</v>
      </c>
      <c r="J324" s="14" t="s">
        <v>99</v>
      </c>
      <c r="K324" s="12">
        <v>7</v>
      </c>
      <c r="L324" s="15">
        <v>1520</v>
      </c>
      <c r="M324" s="15">
        <v>10640</v>
      </c>
      <c r="N324" s="16">
        <v>20</v>
      </c>
      <c r="O324" s="15">
        <v>2128</v>
      </c>
      <c r="P324" s="15">
        <v>8512</v>
      </c>
      <c r="Q324" s="15">
        <v>3853</v>
      </c>
      <c r="R324" s="15">
        <v>4659</v>
      </c>
      <c r="S324" s="12">
        <v>0</v>
      </c>
      <c r="T324" s="15">
        <v>0</v>
      </c>
      <c r="U324" s="17">
        <v>3.4</v>
      </c>
    </row>
    <row r="325" spans="1:21" x14ac:dyDescent="0.35">
      <c r="A325" s="18" t="s">
        <v>438</v>
      </c>
      <c r="B325" s="12" t="str">
        <f t="shared" si="5"/>
        <v>September</v>
      </c>
      <c r="C325" s="19">
        <v>45174</v>
      </c>
      <c r="D325" s="20" t="s">
        <v>113</v>
      </c>
      <c r="E325" s="20" t="s">
        <v>56</v>
      </c>
      <c r="F325" s="20" t="s">
        <v>151</v>
      </c>
      <c r="G325" s="20" t="s">
        <v>55</v>
      </c>
      <c r="H325" s="20" t="s">
        <v>66</v>
      </c>
      <c r="I325" s="20" t="s">
        <v>70</v>
      </c>
      <c r="J325" s="20" t="s">
        <v>103</v>
      </c>
      <c r="K325" s="18">
        <v>15</v>
      </c>
      <c r="L325" s="21">
        <v>2340</v>
      </c>
      <c r="M325" s="21">
        <v>35100</v>
      </c>
      <c r="N325" s="22">
        <v>0</v>
      </c>
      <c r="O325" s="21">
        <v>0</v>
      </c>
      <c r="P325" s="21">
        <v>35100</v>
      </c>
      <c r="Q325" s="21">
        <v>16684</v>
      </c>
      <c r="R325" s="21">
        <v>18416</v>
      </c>
      <c r="S325" s="18">
        <v>1</v>
      </c>
      <c r="T325" s="21">
        <v>2340</v>
      </c>
      <c r="U325" s="23">
        <v>4.9000000000000004</v>
      </c>
    </row>
    <row r="326" spans="1:21" x14ac:dyDescent="0.35">
      <c r="A326" s="12" t="s">
        <v>439</v>
      </c>
      <c r="B326" s="12" t="str">
        <f t="shared" si="5"/>
        <v>September</v>
      </c>
      <c r="C326" s="13">
        <v>45175</v>
      </c>
      <c r="D326" s="14" t="s">
        <v>115</v>
      </c>
      <c r="E326" s="14" t="s">
        <v>56</v>
      </c>
      <c r="F326" s="14" t="s">
        <v>124</v>
      </c>
      <c r="G326" s="14" t="s">
        <v>57</v>
      </c>
      <c r="H326" s="14" t="s">
        <v>68</v>
      </c>
      <c r="I326" s="14" t="s">
        <v>71</v>
      </c>
      <c r="J326" s="14" t="s">
        <v>103</v>
      </c>
      <c r="K326" s="12">
        <v>8</v>
      </c>
      <c r="L326" s="15">
        <v>1191</v>
      </c>
      <c r="M326" s="15">
        <v>9528</v>
      </c>
      <c r="N326" s="16">
        <v>10</v>
      </c>
      <c r="O326" s="15">
        <v>953</v>
      </c>
      <c r="P326" s="15">
        <v>8575</v>
      </c>
      <c r="Q326" s="15">
        <v>5024</v>
      </c>
      <c r="R326" s="15">
        <v>3551</v>
      </c>
      <c r="S326" s="12">
        <v>1</v>
      </c>
      <c r="T326" s="15">
        <v>1072</v>
      </c>
      <c r="U326" s="17">
        <v>4.3</v>
      </c>
    </row>
    <row r="327" spans="1:21" x14ac:dyDescent="0.35">
      <c r="A327" s="18" t="s">
        <v>440</v>
      </c>
      <c r="B327" s="12" t="str">
        <f t="shared" si="5"/>
        <v>September</v>
      </c>
      <c r="C327" s="19">
        <v>45175</v>
      </c>
      <c r="D327" s="20" t="s">
        <v>101</v>
      </c>
      <c r="E327" s="20" t="s">
        <v>52</v>
      </c>
      <c r="F327" s="20" t="s">
        <v>102</v>
      </c>
      <c r="G327" s="20" t="s">
        <v>49</v>
      </c>
      <c r="H327" s="20" t="s">
        <v>68</v>
      </c>
      <c r="I327" s="20" t="s">
        <v>69</v>
      </c>
      <c r="J327" s="20" t="s">
        <v>95</v>
      </c>
      <c r="K327" s="18">
        <v>10</v>
      </c>
      <c r="L327" s="21">
        <v>4689</v>
      </c>
      <c r="M327" s="21">
        <v>46890</v>
      </c>
      <c r="N327" s="22">
        <v>10</v>
      </c>
      <c r="O327" s="21">
        <v>4689</v>
      </c>
      <c r="P327" s="21">
        <v>42201</v>
      </c>
      <c r="Q327" s="21">
        <v>27827</v>
      </c>
      <c r="R327" s="21">
        <v>14374</v>
      </c>
      <c r="S327" s="18">
        <v>1</v>
      </c>
      <c r="T327" s="21">
        <v>4220</v>
      </c>
      <c r="U327" s="23">
        <v>4.4000000000000004</v>
      </c>
    </row>
    <row r="328" spans="1:21" x14ac:dyDescent="0.35">
      <c r="A328" s="12" t="s">
        <v>441</v>
      </c>
      <c r="B328" s="12" t="str">
        <f t="shared" si="5"/>
        <v>September</v>
      </c>
      <c r="C328" s="13">
        <v>45176</v>
      </c>
      <c r="D328" s="14" t="s">
        <v>105</v>
      </c>
      <c r="E328" s="14" t="s">
        <v>54</v>
      </c>
      <c r="F328" s="14" t="s">
        <v>111</v>
      </c>
      <c r="G328" s="14" t="s">
        <v>53</v>
      </c>
      <c r="H328" s="14" t="s">
        <v>66</v>
      </c>
      <c r="I328" s="14" t="s">
        <v>69</v>
      </c>
      <c r="J328" s="14" t="s">
        <v>95</v>
      </c>
      <c r="K328" s="12">
        <v>8</v>
      </c>
      <c r="L328" s="15">
        <v>1585</v>
      </c>
      <c r="M328" s="15">
        <v>12680</v>
      </c>
      <c r="N328" s="16">
        <v>10</v>
      </c>
      <c r="O328" s="15">
        <v>1268</v>
      </c>
      <c r="P328" s="15">
        <v>11412</v>
      </c>
      <c r="Q328" s="15">
        <v>6780</v>
      </c>
      <c r="R328" s="15">
        <v>4632</v>
      </c>
      <c r="S328" s="12">
        <v>0</v>
      </c>
      <c r="T328" s="15">
        <v>0</v>
      </c>
      <c r="U328" s="17">
        <v>3.7</v>
      </c>
    </row>
    <row r="329" spans="1:21" x14ac:dyDescent="0.35">
      <c r="A329" s="18" t="s">
        <v>442</v>
      </c>
      <c r="B329" s="12" t="str">
        <f t="shared" si="5"/>
        <v>September</v>
      </c>
      <c r="C329" s="19">
        <v>45176</v>
      </c>
      <c r="D329" s="20" t="s">
        <v>115</v>
      </c>
      <c r="E329" s="20" t="s">
        <v>54</v>
      </c>
      <c r="F329" s="20" t="s">
        <v>94</v>
      </c>
      <c r="G329" s="20" t="s">
        <v>51</v>
      </c>
      <c r="H329" s="20" t="s">
        <v>66</v>
      </c>
      <c r="I329" s="20" t="s">
        <v>70</v>
      </c>
      <c r="J329" s="20" t="s">
        <v>95</v>
      </c>
      <c r="K329" s="18">
        <v>5</v>
      </c>
      <c r="L329" s="21">
        <v>3211</v>
      </c>
      <c r="M329" s="21">
        <v>16055</v>
      </c>
      <c r="N329" s="22">
        <v>15</v>
      </c>
      <c r="O329" s="21">
        <v>2408</v>
      </c>
      <c r="P329" s="21">
        <v>13647</v>
      </c>
      <c r="Q329" s="21">
        <v>7225</v>
      </c>
      <c r="R329" s="21">
        <v>6422</v>
      </c>
      <c r="S329" s="18">
        <v>1</v>
      </c>
      <c r="T329" s="21">
        <v>2729</v>
      </c>
      <c r="U329" s="23">
        <v>3.3</v>
      </c>
    </row>
    <row r="330" spans="1:21" x14ac:dyDescent="0.35">
      <c r="A330" s="12" t="s">
        <v>443</v>
      </c>
      <c r="B330" s="12" t="str">
        <f t="shared" si="5"/>
        <v>September</v>
      </c>
      <c r="C330" s="13">
        <v>45177</v>
      </c>
      <c r="D330" s="14" t="s">
        <v>97</v>
      </c>
      <c r="E330" s="14" t="s">
        <v>54</v>
      </c>
      <c r="F330" s="14" t="s">
        <v>151</v>
      </c>
      <c r="G330" s="14" t="s">
        <v>49</v>
      </c>
      <c r="H330" s="14" t="s">
        <v>66</v>
      </c>
      <c r="I330" s="14" t="s">
        <v>65</v>
      </c>
      <c r="J330" s="14" t="s">
        <v>99</v>
      </c>
      <c r="K330" s="12">
        <v>1</v>
      </c>
      <c r="L330" s="15">
        <v>316</v>
      </c>
      <c r="M330" s="15">
        <v>316</v>
      </c>
      <c r="N330" s="16">
        <v>10</v>
      </c>
      <c r="O330" s="15">
        <v>32</v>
      </c>
      <c r="P330" s="15">
        <v>284</v>
      </c>
      <c r="Q330" s="15">
        <v>173</v>
      </c>
      <c r="R330" s="15">
        <v>111</v>
      </c>
      <c r="S330" s="12">
        <v>1</v>
      </c>
      <c r="T330" s="15">
        <v>284</v>
      </c>
      <c r="U330" s="17">
        <v>2.9</v>
      </c>
    </row>
    <row r="331" spans="1:21" x14ac:dyDescent="0.35">
      <c r="A331" s="18" t="s">
        <v>444</v>
      </c>
      <c r="B331" s="12" t="str">
        <f t="shared" si="5"/>
        <v>September</v>
      </c>
      <c r="C331" s="19">
        <v>45177</v>
      </c>
      <c r="D331" s="20" t="s">
        <v>131</v>
      </c>
      <c r="E331" s="20" t="s">
        <v>52</v>
      </c>
      <c r="F331" s="20" t="s">
        <v>134</v>
      </c>
      <c r="G331" s="20" t="s">
        <v>53</v>
      </c>
      <c r="H331" s="20" t="s">
        <v>66</v>
      </c>
      <c r="I331" s="20" t="s">
        <v>65</v>
      </c>
      <c r="J331" s="20" t="s">
        <v>99</v>
      </c>
      <c r="K331" s="18">
        <v>8</v>
      </c>
      <c r="L331" s="21">
        <v>654</v>
      </c>
      <c r="M331" s="21">
        <v>5232</v>
      </c>
      <c r="N331" s="22">
        <v>5</v>
      </c>
      <c r="O331" s="21">
        <v>262</v>
      </c>
      <c r="P331" s="21">
        <v>4970</v>
      </c>
      <c r="Q331" s="21">
        <v>2737</v>
      </c>
      <c r="R331" s="21">
        <v>2233</v>
      </c>
      <c r="S331" s="18">
        <v>2</v>
      </c>
      <c r="T331" s="21">
        <v>1243</v>
      </c>
      <c r="U331" s="23">
        <v>3.2</v>
      </c>
    </row>
    <row r="332" spans="1:21" x14ac:dyDescent="0.35">
      <c r="A332" s="12" t="s">
        <v>445</v>
      </c>
      <c r="B332" s="12" t="str">
        <f t="shared" si="5"/>
        <v>September</v>
      </c>
      <c r="C332" s="13">
        <v>45177</v>
      </c>
      <c r="D332" s="14" t="s">
        <v>142</v>
      </c>
      <c r="E332" s="14" t="s">
        <v>54</v>
      </c>
      <c r="F332" s="14" t="s">
        <v>106</v>
      </c>
      <c r="G332" s="14" t="s">
        <v>51</v>
      </c>
      <c r="H332" s="14" t="s">
        <v>68</v>
      </c>
      <c r="I332" s="14" t="s">
        <v>69</v>
      </c>
      <c r="J332" s="14" t="s">
        <v>95</v>
      </c>
      <c r="K332" s="12">
        <v>4</v>
      </c>
      <c r="L332" s="15">
        <v>3717</v>
      </c>
      <c r="M332" s="15">
        <v>14868</v>
      </c>
      <c r="N332" s="16">
        <v>10</v>
      </c>
      <c r="O332" s="15">
        <v>1487</v>
      </c>
      <c r="P332" s="15">
        <v>13381</v>
      </c>
      <c r="Q332" s="15">
        <v>6728</v>
      </c>
      <c r="R332" s="15">
        <v>6653</v>
      </c>
      <c r="S332" s="12">
        <v>0</v>
      </c>
      <c r="T332" s="15">
        <v>0</v>
      </c>
      <c r="U332" s="17">
        <v>4</v>
      </c>
    </row>
    <row r="333" spans="1:21" x14ac:dyDescent="0.35">
      <c r="A333" s="18" t="s">
        <v>446</v>
      </c>
      <c r="B333" s="12" t="str">
        <f t="shared" si="5"/>
        <v>September</v>
      </c>
      <c r="C333" s="19">
        <v>45178</v>
      </c>
      <c r="D333" s="20" t="s">
        <v>101</v>
      </c>
      <c r="E333" s="20" t="s">
        <v>52</v>
      </c>
      <c r="F333" s="20" t="s">
        <v>94</v>
      </c>
      <c r="G333" s="20" t="s">
        <v>57</v>
      </c>
      <c r="H333" s="20" t="s">
        <v>68</v>
      </c>
      <c r="I333" s="20" t="s">
        <v>65</v>
      </c>
      <c r="J333" s="20" t="s">
        <v>95</v>
      </c>
      <c r="K333" s="18">
        <v>11</v>
      </c>
      <c r="L333" s="21">
        <v>3053</v>
      </c>
      <c r="M333" s="21">
        <v>33583</v>
      </c>
      <c r="N333" s="22">
        <v>30</v>
      </c>
      <c r="O333" s="21">
        <v>10075</v>
      </c>
      <c r="P333" s="21">
        <v>23508</v>
      </c>
      <c r="Q333" s="21">
        <v>11082</v>
      </c>
      <c r="R333" s="21">
        <v>12426</v>
      </c>
      <c r="S333" s="18">
        <v>2</v>
      </c>
      <c r="T333" s="21">
        <v>4274</v>
      </c>
      <c r="U333" s="23">
        <v>3.2</v>
      </c>
    </row>
    <row r="334" spans="1:21" x14ac:dyDescent="0.35">
      <c r="A334" s="12" t="s">
        <v>447</v>
      </c>
      <c r="B334" s="12" t="str">
        <f t="shared" si="5"/>
        <v>September</v>
      </c>
      <c r="C334" s="13">
        <v>45178</v>
      </c>
      <c r="D334" s="14" t="s">
        <v>115</v>
      </c>
      <c r="E334" s="14" t="s">
        <v>52</v>
      </c>
      <c r="F334" s="14" t="s">
        <v>134</v>
      </c>
      <c r="G334" s="14" t="s">
        <v>55</v>
      </c>
      <c r="H334" s="14" t="s">
        <v>64</v>
      </c>
      <c r="I334" s="14" t="s">
        <v>65</v>
      </c>
      <c r="J334" s="14" t="s">
        <v>95</v>
      </c>
      <c r="K334" s="12">
        <v>3</v>
      </c>
      <c r="L334" s="15">
        <v>2840</v>
      </c>
      <c r="M334" s="15">
        <v>8520</v>
      </c>
      <c r="N334" s="16">
        <v>30</v>
      </c>
      <c r="O334" s="15">
        <v>2556</v>
      </c>
      <c r="P334" s="15">
        <v>5964</v>
      </c>
      <c r="Q334" s="15">
        <v>3009</v>
      </c>
      <c r="R334" s="15">
        <v>2955</v>
      </c>
      <c r="S334" s="12">
        <v>0</v>
      </c>
      <c r="T334" s="15">
        <v>0</v>
      </c>
      <c r="U334" s="17">
        <v>4.8</v>
      </c>
    </row>
    <row r="335" spans="1:21" x14ac:dyDescent="0.35">
      <c r="A335" s="18" t="s">
        <v>448</v>
      </c>
      <c r="B335" s="12" t="str">
        <f t="shared" si="5"/>
        <v>September</v>
      </c>
      <c r="C335" s="19">
        <v>45179</v>
      </c>
      <c r="D335" s="20" t="s">
        <v>105</v>
      </c>
      <c r="E335" s="20" t="s">
        <v>52</v>
      </c>
      <c r="F335" s="20" t="s">
        <v>116</v>
      </c>
      <c r="G335" s="20" t="s">
        <v>49</v>
      </c>
      <c r="H335" s="20" t="s">
        <v>68</v>
      </c>
      <c r="I335" s="20" t="s">
        <v>71</v>
      </c>
      <c r="J335" s="20" t="s">
        <v>95</v>
      </c>
      <c r="K335" s="18">
        <v>4</v>
      </c>
      <c r="L335" s="21">
        <v>867</v>
      </c>
      <c r="M335" s="21">
        <v>3468</v>
      </c>
      <c r="N335" s="22">
        <v>30</v>
      </c>
      <c r="O335" s="21">
        <v>1040</v>
      </c>
      <c r="P335" s="21">
        <v>2428</v>
      </c>
      <c r="Q335" s="21">
        <v>1223</v>
      </c>
      <c r="R335" s="21">
        <v>1205</v>
      </c>
      <c r="S335" s="18">
        <v>0</v>
      </c>
      <c r="T335" s="21">
        <v>0</v>
      </c>
      <c r="U335" s="23">
        <v>4.3</v>
      </c>
    </row>
    <row r="336" spans="1:21" x14ac:dyDescent="0.35">
      <c r="A336" s="12" t="s">
        <v>449</v>
      </c>
      <c r="B336" s="12" t="str">
        <f t="shared" si="5"/>
        <v>September</v>
      </c>
      <c r="C336" s="13">
        <v>45179</v>
      </c>
      <c r="D336" s="14" t="s">
        <v>113</v>
      </c>
      <c r="E336" s="14" t="s">
        <v>52</v>
      </c>
      <c r="F336" s="14" t="s">
        <v>94</v>
      </c>
      <c r="G336" s="14" t="s">
        <v>55</v>
      </c>
      <c r="H336" s="14" t="s">
        <v>68</v>
      </c>
      <c r="I336" s="14" t="s">
        <v>65</v>
      </c>
      <c r="J336" s="14" t="s">
        <v>99</v>
      </c>
      <c r="K336" s="12">
        <v>8</v>
      </c>
      <c r="L336" s="15">
        <v>3575</v>
      </c>
      <c r="M336" s="15">
        <v>28600</v>
      </c>
      <c r="N336" s="16">
        <v>0</v>
      </c>
      <c r="O336" s="15">
        <v>0</v>
      </c>
      <c r="P336" s="15">
        <v>28600</v>
      </c>
      <c r="Q336" s="15">
        <v>15231</v>
      </c>
      <c r="R336" s="15">
        <v>13369</v>
      </c>
      <c r="S336" s="12">
        <v>0</v>
      </c>
      <c r="T336" s="15">
        <v>0</v>
      </c>
      <c r="U336" s="17">
        <v>2.6</v>
      </c>
    </row>
    <row r="337" spans="1:21" x14ac:dyDescent="0.35">
      <c r="A337" s="18" t="s">
        <v>450</v>
      </c>
      <c r="B337" s="12" t="str">
        <f t="shared" si="5"/>
        <v>September</v>
      </c>
      <c r="C337" s="19">
        <v>45180</v>
      </c>
      <c r="D337" s="20" t="s">
        <v>142</v>
      </c>
      <c r="E337" s="20" t="s">
        <v>59</v>
      </c>
      <c r="F337" s="20" t="s">
        <v>111</v>
      </c>
      <c r="G337" s="20" t="s">
        <v>57</v>
      </c>
      <c r="H337" s="20" t="s">
        <v>66</v>
      </c>
      <c r="I337" s="20" t="s">
        <v>67</v>
      </c>
      <c r="J337" s="20" t="s">
        <v>95</v>
      </c>
      <c r="K337" s="18">
        <v>14</v>
      </c>
      <c r="L337" s="21">
        <v>4271</v>
      </c>
      <c r="M337" s="21">
        <v>59794</v>
      </c>
      <c r="N337" s="22">
        <v>5</v>
      </c>
      <c r="O337" s="21">
        <v>2990</v>
      </c>
      <c r="P337" s="21">
        <v>56804</v>
      </c>
      <c r="Q337" s="21">
        <v>33031</v>
      </c>
      <c r="R337" s="21">
        <v>23773</v>
      </c>
      <c r="S337" s="18">
        <v>3</v>
      </c>
      <c r="T337" s="21">
        <v>12172</v>
      </c>
      <c r="U337" s="23">
        <v>2.5</v>
      </c>
    </row>
    <row r="338" spans="1:21" x14ac:dyDescent="0.35">
      <c r="A338" s="12" t="s">
        <v>451</v>
      </c>
      <c r="B338" s="12" t="str">
        <f t="shared" si="5"/>
        <v>September</v>
      </c>
      <c r="C338" s="13">
        <v>45181</v>
      </c>
      <c r="D338" s="14" t="s">
        <v>142</v>
      </c>
      <c r="E338" s="14" t="s">
        <v>56</v>
      </c>
      <c r="F338" s="14" t="s">
        <v>102</v>
      </c>
      <c r="G338" s="14" t="s">
        <v>53</v>
      </c>
      <c r="H338" s="14" t="s">
        <v>66</v>
      </c>
      <c r="I338" s="14" t="s">
        <v>67</v>
      </c>
      <c r="J338" s="14" t="s">
        <v>99</v>
      </c>
      <c r="K338" s="12">
        <v>4</v>
      </c>
      <c r="L338" s="15">
        <v>4081</v>
      </c>
      <c r="M338" s="15">
        <v>16324</v>
      </c>
      <c r="N338" s="16">
        <v>30</v>
      </c>
      <c r="O338" s="15">
        <v>4897</v>
      </c>
      <c r="P338" s="15">
        <v>11427</v>
      </c>
      <c r="Q338" s="15">
        <v>5992</v>
      </c>
      <c r="R338" s="15">
        <v>5435</v>
      </c>
      <c r="S338" s="12">
        <v>0</v>
      </c>
      <c r="T338" s="15">
        <v>0</v>
      </c>
      <c r="U338" s="17">
        <v>4.2</v>
      </c>
    </row>
    <row r="339" spans="1:21" x14ac:dyDescent="0.35">
      <c r="A339" s="18" t="s">
        <v>452</v>
      </c>
      <c r="B339" s="12" t="str">
        <f t="shared" si="5"/>
        <v>September</v>
      </c>
      <c r="C339" s="19">
        <v>45181</v>
      </c>
      <c r="D339" s="20" t="s">
        <v>97</v>
      </c>
      <c r="E339" s="20" t="s">
        <v>59</v>
      </c>
      <c r="F339" s="20" t="s">
        <v>98</v>
      </c>
      <c r="G339" s="20" t="s">
        <v>55</v>
      </c>
      <c r="H339" s="20" t="s">
        <v>66</v>
      </c>
      <c r="I339" s="20" t="s">
        <v>65</v>
      </c>
      <c r="J339" s="20" t="s">
        <v>95</v>
      </c>
      <c r="K339" s="18">
        <v>4</v>
      </c>
      <c r="L339" s="21">
        <v>3041</v>
      </c>
      <c r="M339" s="21">
        <v>12164</v>
      </c>
      <c r="N339" s="22">
        <v>0</v>
      </c>
      <c r="O339" s="21">
        <v>0</v>
      </c>
      <c r="P339" s="21">
        <v>12164</v>
      </c>
      <c r="Q339" s="21">
        <v>5627</v>
      </c>
      <c r="R339" s="21">
        <v>6537</v>
      </c>
      <c r="S339" s="18">
        <v>1</v>
      </c>
      <c r="T339" s="21">
        <v>3041</v>
      </c>
      <c r="U339" s="23">
        <v>4</v>
      </c>
    </row>
    <row r="340" spans="1:21" x14ac:dyDescent="0.35">
      <c r="A340" s="12" t="s">
        <v>453</v>
      </c>
      <c r="B340" s="12" t="str">
        <f t="shared" si="5"/>
        <v>September</v>
      </c>
      <c r="C340" s="13">
        <v>45181</v>
      </c>
      <c r="D340" s="14" t="s">
        <v>97</v>
      </c>
      <c r="E340" s="14" t="s">
        <v>52</v>
      </c>
      <c r="F340" s="14" t="s">
        <v>134</v>
      </c>
      <c r="G340" s="14" t="s">
        <v>51</v>
      </c>
      <c r="H340" s="14" t="s">
        <v>68</v>
      </c>
      <c r="I340" s="14" t="s">
        <v>71</v>
      </c>
      <c r="J340" s="14" t="s">
        <v>95</v>
      </c>
      <c r="K340" s="12">
        <v>6</v>
      </c>
      <c r="L340" s="15">
        <v>3605</v>
      </c>
      <c r="M340" s="15">
        <v>21630</v>
      </c>
      <c r="N340" s="16">
        <v>20</v>
      </c>
      <c r="O340" s="15">
        <v>4326</v>
      </c>
      <c r="P340" s="15">
        <v>17304</v>
      </c>
      <c r="Q340" s="15">
        <v>8481</v>
      </c>
      <c r="R340" s="15">
        <v>8823</v>
      </c>
      <c r="S340" s="12">
        <v>1</v>
      </c>
      <c r="T340" s="15">
        <v>2884</v>
      </c>
      <c r="U340" s="17">
        <v>4.8</v>
      </c>
    </row>
    <row r="341" spans="1:21" x14ac:dyDescent="0.35">
      <c r="A341" s="18" t="s">
        <v>454</v>
      </c>
      <c r="B341" s="12" t="str">
        <f t="shared" si="5"/>
        <v>September</v>
      </c>
      <c r="C341" s="19">
        <v>45182</v>
      </c>
      <c r="D341" s="20" t="s">
        <v>142</v>
      </c>
      <c r="E341" s="20" t="s">
        <v>48</v>
      </c>
      <c r="F341" s="20" t="s">
        <v>116</v>
      </c>
      <c r="G341" s="20" t="s">
        <v>57</v>
      </c>
      <c r="H341" s="20" t="s">
        <v>64</v>
      </c>
      <c r="I341" s="20" t="s">
        <v>67</v>
      </c>
      <c r="J341" s="20" t="s">
        <v>99</v>
      </c>
      <c r="K341" s="18">
        <v>12</v>
      </c>
      <c r="L341" s="21">
        <v>2396</v>
      </c>
      <c r="M341" s="21">
        <v>28752</v>
      </c>
      <c r="N341" s="22">
        <v>20</v>
      </c>
      <c r="O341" s="21">
        <v>5750</v>
      </c>
      <c r="P341" s="21">
        <v>23002</v>
      </c>
      <c r="Q341" s="21">
        <v>14342</v>
      </c>
      <c r="R341" s="21">
        <v>8660</v>
      </c>
      <c r="S341" s="18">
        <v>3</v>
      </c>
      <c r="T341" s="21">
        <v>5750</v>
      </c>
      <c r="U341" s="23">
        <v>3</v>
      </c>
    </row>
    <row r="342" spans="1:21" x14ac:dyDescent="0.35">
      <c r="A342" s="12" t="s">
        <v>455</v>
      </c>
      <c r="B342" s="12" t="str">
        <f t="shared" si="5"/>
        <v>September</v>
      </c>
      <c r="C342" s="13">
        <v>45183</v>
      </c>
      <c r="D342" s="14" t="s">
        <v>105</v>
      </c>
      <c r="E342" s="14" t="s">
        <v>52</v>
      </c>
      <c r="F342" s="14" t="s">
        <v>124</v>
      </c>
      <c r="G342" s="14" t="s">
        <v>51</v>
      </c>
      <c r="H342" s="14" t="s">
        <v>64</v>
      </c>
      <c r="I342" s="14" t="s">
        <v>69</v>
      </c>
      <c r="J342" s="14" t="s">
        <v>103</v>
      </c>
      <c r="K342" s="12">
        <v>11</v>
      </c>
      <c r="L342" s="15">
        <v>1619</v>
      </c>
      <c r="M342" s="15">
        <v>17809</v>
      </c>
      <c r="N342" s="16">
        <v>10</v>
      </c>
      <c r="O342" s="15">
        <v>1781</v>
      </c>
      <c r="P342" s="15">
        <v>16028</v>
      </c>
      <c r="Q342" s="15">
        <v>7962</v>
      </c>
      <c r="R342" s="15">
        <v>8066</v>
      </c>
      <c r="S342" s="12">
        <v>1</v>
      </c>
      <c r="T342" s="15">
        <v>1457</v>
      </c>
      <c r="U342" s="17">
        <v>4</v>
      </c>
    </row>
    <row r="343" spans="1:21" x14ac:dyDescent="0.35">
      <c r="A343" s="18" t="s">
        <v>456</v>
      </c>
      <c r="B343" s="12" t="str">
        <f t="shared" si="5"/>
        <v>September</v>
      </c>
      <c r="C343" s="19">
        <v>45184</v>
      </c>
      <c r="D343" s="20" t="s">
        <v>93</v>
      </c>
      <c r="E343" s="20" t="s">
        <v>56</v>
      </c>
      <c r="F343" s="20" t="s">
        <v>151</v>
      </c>
      <c r="G343" s="20" t="s">
        <v>51</v>
      </c>
      <c r="H343" s="20" t="s">
        <v>64</v>
      </c>
      <c r="I343" s="20" t="s">
        <v>71</v>
      </c>
      <c r="J343" s="20" t="s">
        <v>95</v>
      </c>
      <c r="K343" s="18">
        <v>7</v>
      </c>
      <c r="L343" s="21">
        <v>623</v>
      </c>
      <c r="M343" s="21">
        <v>4361</v>
      </c>
      <c r="N343" s="22">
        <v>40</v>
      </c>
      <c r="O343" s="21">
        <v>1744</v>
      </c>
      <c r="P343" s="21">
        <v>2617</v>
      </c>
      <c r="Q343" s="21">
        <v>1744</v>
      </c>
      <c r="R343" s="21">
        <v>873</v>
      </c>
      <c r="S343" s="18">
        <v>1</v>
      </c>
      <c r="T343" s="21">
        <v>374</v>
      </c>
      <c r="U343" s="23">
        <v>3.3</v>
      </c>
    </row>
    <row r="344" spans="1:21" x14ac:dyDescent="0.35">
      <c r="A344" s="12" t="s">
        <v>457</v>
      </c>
      <c r="B344" s="12" t="str">
        <f t="shared" si="5"/>
        <v>September</v>
      </c>
      <c r="C344" s="13">
        <v>45184</v>
      </c>
      <c r="D344" s="14" t="s">
        <v>93</v>
      </c>
      <c r="E344" s="14" t="s">
        <v>58</v>
      </c>
      <c r="F344" s="14" t="s">
        <v>98</v>
      </c>
      <c r="G344" s="14" t="s">
        <v>49</v>
      </c>
      <c r="H344" s="14" t="s">
        <v>68</v>
      </c>
      <c r="I344" s="14" t="s">
        <v>70</v>
      </c>
      <c r="J344" s="14" t="s">
        <v>103</v>
      </c>
      <c r="K344" s="12">
        <v>9</v>
      </c>
      <c r="L344" s="15">
        <v>4188</v>
      </c>
      <c r="M344" s="15">
        <v>37692</v>
      </c>
      <c r="N344" s="16">
        <v>30</v>
      </c>
      <c r="O344" s="15">
        <v>11308</v>
      </c>
      <c r="P344" s="15">
        <v>26384</v>
      </c>
      <c r="Q344" s="15">
        <v>15316</v>
      </c>
      <c r="R344" s="15">
        <v>11068</v>
      </c>
      <c r="S344" s="12">
        <v>1</v>
      </c>
      <c r="T344" s="15">
        <v>2932</v>
      </c>
      <c r="U344" s="17">
        <v>4.7</v>
      </c>
    </row>
    <row r="345" spans="1:21" x14ac:dyDescent="0.35">
      <c r="A345" s="18" t="s">
        <v>458</v>
      </c>
      <c r="B345" s="12" t="str">
        <f t="shared" si="5"/>
        <v>September</v>
      </c>
      <c r="C345" s="19">
        <v>45185</v>
      </c>
      <c r="D345" s="20" t="s">
        <v>122</v>
      </c>
      <c r="E345" s="20" t="s">
        <v>50</v>
      </c>
      <c r="F345" s="20" t="s">
        <v>116</v>
      </c>
      <c r="G345" s="20" t="s">
        <v>57</v>
      </c>
      <c r="H345" s="20" t="s">
        <v>66</v>
      </c>
      <c r="I345" s="20" t="s">
        <v>70</v>
      </c>
      <c r="J345" s="20" t="s">
        <v>99</v>
      </c>
      <c r="K345" s="18">
        <v>7</v>
      </c>
      <c r="L345" s="21">
        <v>4828</v>
      </c>
      <c r="M345" s="21">
        <v>33796</v>
      </c>
      <c r="N345" s="22">
        <v>20</v>
      </c>
      <c r="O345" s="21">
        <v>6759</v>
      </c>
      <c r="P345" s="21">
        <v>27037</v>
      </c>
      <c r="Q345" s="21">
        <v>15228</v>
      </c>
      <c r="R345" s="21">
        <v>11809</v>
      </c>
      <c r="S345" s="18">
        <v>0</v>
      </c>
      <c r="T345" s="21">
        <v>0</v>
      </c>
      <c r="U345" s="23">
        <v>2.8</v>
      </c>
    </row>
    <row r="346" spans="1:21" x14ac:dyDescent="0.35">
      <c r="A346" s="12" t="s">
        <v>459</v>
      </c>
      <c r="B346" s="12" t="str">
        <f t="shared" si="5"/>
        <v>September</v>
      </c>
      <c r="C346" s="13">
        <v>45186</v>
      </c>
      <c r="D346" s="14" t="s">
        <v>93</v>
      </c>
      <c r="E346" s="14" t="s">
        <v>56</v>
      </c>
      <c r="F346" s="14" t="s">
        <v>94</v>
      </c>
      <c r="G346" s="14" t="s">
        <v>49</v>
      </c>
      <c r="H346" s="14" t="s">
        <v>68</v>
      </c>
      <c r="I346" s="14" t="s">
        <v>65</v>
      </c>
      <c r="J346" s="14" t="s">
        <v>95</v>
      </c>
      <c r="K346" s="12">
        <v>7</v>
      </c>
      <c r="L346" s="15">
        <v>4815</v>
      </c>
      <c r="M346" s="15">
        <v>33705</v>
      </c>
      <c r="N346" s="16">
        <v>40</v>
      </c>
      <c r="O346" s="15">
        <v>13482</v>
      </c>
      <c r="P346" s="15">
        <v>20223</v>
      </c>
      <c r="Q346" s="15">
        <v>12676</v>
      </c>
      <c r="R346" s="15">
        <v>7547</v>
      </c>
      <c r="S346" s="12">
        <v>1</v>
      </c>
      <c r="T346" s="15">
        <v>2889</v>
      </c>
      <c r="U346" s="17">
        <v>2.9</v>
      </c>
    </row>
    <row r="347" spans="1:21" x14ac:dyDescent="0.35">
      <c r="A347" s="18" t="s">
        <v>460</v>
      </c>
      <c r="B347" s="12" t="str">
        <f t="shared" si="5"/>
        <v>September</v>
      </c>
      <c r="C347" s="19">
        <v>45186</v>
      </c>
      <c r="D347" s="20" t="s">
        <v>93</v>
      </c>
      <c r="E347" s="20" t="s">
        <v>59</v>
      </c>
      <c r="F347" s="20" t="s">
        <v>108</v>
      </c>
      <c r="G347" s="20" t="s">
        <v>55</v>
      </c>
      <c r="H347" s="20" t="s">
        <v>68</v>
      </c>
      <c r="I347" s="20" t="s">
        <v>69</v>
      </c>
      <c r="J347" s="20" t="s">
        <v>95</v>
      </c>
      <c r="K347" s="18">
        <v>6</v>
      </c>
      <c r="L347" s="21">
        <v>4208</v>
      </c>
      <c r="M347" s="21">
        <v>25248</v>
      </c>
      <c r="N347" s="22">
        <v>5</v>
      </c>
      <c r="O347" s="21">
        <v>1262</v>
      </c>
      <c r="P347" s="21">
        <v>23986</v>
      </c>
      <c r="Q347" s="21">
        <v>14659</v>
      </c>
      <c r="R347" s="21">
        <v>9327</v>
      </c>
      <c r="S347" s="18">
        <v>0</v>
      </c>
      <c r="T347" s="21">
        <v>0</v>
      </c>
      <c r="U347" s="23">
        <v>4</v>
      </c>
    </row>
    <row r="348" spans="1:21" x14ac:dyDescent="0.35">
      <c r="A348" s="12" t="s">
        <v>461</v>
      </c>
      <c r="B348" s="12" t="str">
        <f t="shared" si="5"/>
        <v>September</v>
      </c>
      <c r="C348" s="13">
        <v>45186</v>
      </c>
      <c r="D348" s="14" t="s">
        <v>105</v>
      </c>
      <c r="E348" s="14" t="s">
        <v>58</v>
      </c>
      <c r="F348" s="14" t="s">
        <v>102</v>
      </c>
      <c r="G348" s="14" t="s">
        <v>57</v>
      </c>
      <c r="H348" s="14" t="s">
        <v>64</v>
      </c>
      <c r="I348" s="14" t="s">
        <v>65</v>
      </c>
      <c r="J348" s="14" t="s">
        <v>99</v>
      </c>
      <c r="K348" s="12">
        <v>1</v>
      </c>
      <c r="L348" s="15">
        <v>3287</v>
      </c>
      <c r="M348" s="15">
        <v>3287</v>
      </c>
      <c r="N348" s="16">
        <v>25</v>
      </c>
      <c r="O348" s="15">
        <v>822</v>
      </c>
      <c r="P348" s="15">
        <v>2465</v>
      </c>
      <c r="Q348" s="15">
        <v>1266</v>
      </c>
      <c r="R348" s="15">
        <v>1199</v>
      </c>
      <c r="S348" s="12">
        <v>0</v>
      </c>
      <c r="T348" s="15">
        <v>0</v>
      </c>
      <c r="U348" s="17">
        <v>3.4</v>
      </c>
    </row>
    <row r="349" spans="1:21" x14ac:dyDescent="0.35">
      <c r="A349" s="18" t="s">
        <v>462</v>
      </c>
      <c r="B349" s="12" t="str">
        <f t="shared" si="5"/>
        <v>September</v>
      </c>
      <c r="C349" s="19">
        <v>45186</v>
      </c>
      <c r="D349" s="20" t="s">
        <v>142</v>
      </c>
      <c r="E349" s="20" t="s">
        <v>54</v>
      </c>
      <c r="F349" s="20" t="s">
        <v>111</v>
      </c>
      <c r="G349" s="20" t="s">
        <v>57</v>
      </c>
      <c r="H349" s="20" t="s">
        <v>64</v>
      </c>
      <c r="I349" s="20" t="s">
        <v>67</v>
      </c>
      <c r="J349" s="20" t="s">
        <v>95</v>
      </c>
      <c r="K349" s="18">
        <v>8</v>
      </c>
      <c r="L349" s="21">
        <v>900</v>
      </c>
      <c r="M349" s="21">
        <v>7200</v>
      </c>
      <c r="N349" s="22">
        <v>20</v>
      </c>
      <c r="O349" s="21">
        <v>1440</v>
      </c>
      <c r="P349" s="21">
        <v>5760</v>
      </c>
      <c r="Q349" s="21">
        <v>3636</v>
      </c>
      <c r="R349" s="21">
        <v>2124</v>
      </c>
      <c r="S349" s="18">
        <v>2</v>
      </c>
      <c r="T349" s="21">
        <v>1440</v>
      </c>
      <c r="U349" s="23">
        <v>4.4000000000000004</v>
      </c>
    </row>
    <row r="350" spans="1:21" x14ac:dyDescent="0.35">
      <c r="A350" s="12" t="s">
        <v>463</v>
      </c>
      <c r="B350" s="12" t="str">
        <f t="shared" si="5"/>
        <v>September</v>
      </c>
      <c r="C350" s="13">
        <v>45187</v>
      </c>
      <c r="D350" s="14" t="s">
        <v>97</v>
      </c>
      <c r="E350" s="14" t="s">
        <v>50</v>
      </c>
      <c r="F350" s="14" t="s">
        <v>98</v>
      </c>
      <c r="G350" s="14" t="s">
        <v>49</v>
      </c>
      <c r="H350" s="14" t="s">
        <v>64</v>
      </c>
      <c r="I350" s="14" t="s">
        <v>70</v>
      </c>
      <c r="J350" s="14" t="s">
        <v>103</v>
      </c>
      <c r="K350" s="12">
        <v>3</v>
      </c>
      <c r="L350" s="15">
        <v>4022</v>
      </c>
      <c r="M350" s="15">
        <v>12066</v>
      </c>
      <c r="N350" s="16">
        <v>30</v>
      </c>
      <c r="O350" s="15">
        <v>3620</v>
      </c>
      <c r="P350" s="15">
        <v>8446</v>
      </c>
      <c r="Q350" s="15">
        <v>5060</v>
      </c>
      <c r="R350" s="15">
        <v>3386</v>
      </c>
      <c r="S350" s="12">
        <v>1</v>
      </c>
      <c r="T350" s="15">
        <v>2815</v>
      </c>
      <c r="U350" s="17">
        <v>3.5</v>
      </c>
    </row>
    <row r="351" spans="1:21" x14ac:dyDescent="0.35">
      <c r="A351" s="18" t="s">
        <v>464</v>
      </c>
      <c r="B351" s="12" t="str">
        <f t="shared" si="5"/>
        <v>September</v>
      </c>
      <c r="C351" s="19">
        <v>45187</v>
      </c>
      <c r="D351" s="20" t="s">
        <v>120</v>
      </c>
      <c r="E351" s="20" t="s">
        <v>52</v>
      </c>
      <c r="F351" s="20" t="s">
        <v>116</v>
      </c>
      <c r="G351" s="20" t="s">
        <v>53</v>
      </c>
      <c r="H351" s="20" t="s">
        <v>66</v>
      </c>
      <c r="I351" s="20" t="s">
        <v>69</v>
      </c>
      <c r="J351" s="20" t="s">
        <v>95</v>
      </c>
      <c r="K351" s="18">
        <v>8</v>
      </c>
      <c r="L351" s="21">
        <v>2113</v>
      </c>
      <c r="M351" s="21">
        <v>16904</v>
      </c>
      <c r="N351" s="22">
        <v>15</v>
      </c>
      <c r="O351" s="21">
        <v>2536</v>
      </c>
      <c r="P351" s="21">
        <v>14368</v>
      </c>
      <c r="Q351" s="21">
        <v>8260</v>
      </c>
      <c r="R351" s="21">
        <v>6108</v>
      </c>
      <c r="S351" s="18">
        <v>2</v>
      </c>
      <c r="T351" s="21">
        <v>3592</v>
      </c>
      <c r="U351" s="23">
        <v>2.7</v>
      </c>
    </row>
    <row r="352" spans="1:21" x14ac:dyDescent="0.35">
      <c r="A352" s="12" t="s">
        <v>465</v>
      </c>
      <c r="B352" s="12" t="str">
        <f t="shared" si="5"/>
        <v>September</v>
      </c>
      <c r="C352" s="13">
        <v>45189</v>
      </c>
      <c r="D352" s="14" t="s">
        <v>97</v>
      </c>
      <c r="E352" s="14" t="s">
        <v>48</v>
      </c>
      <c r="F352" s="14" t="s">
        <v>98</v>
      </c>
      <c r="G352" s="14" t="s">
        <v>55</v>
      </c>
      <c r="H352" s="14" t="s">
        <v>66</v>
      </c>
      <c r="I352" s="14" t="s">
        <v>70</v>
      </c>
      <c r="J352" s="14" t="s">
        <v>103</v>
      </c>
      <c r="K352" s="12">
        <v>1</v>
      </c>
      <c r="L352" s="15">
        <v>3717</v>
      </c>
      <c r="M352" s="15">
        <v>3717</v>
      </c>
      <c r="N352" s="16">
        <v>50</v>
      </c>
      <c r="O352" s="15">
        <v>1858</v>
      </c>
      <c r="P352" s="15">
        <v>1859</v>
      </c>
      <c r="Q352" s="15">
        <v>977</v>
      </c>
      <c r="R352" s="15">
        <v>882</v>
      </c>
      <c r="S352" s="12">
        <v>0</v>
      </c>
      <c r="T352" s="15">
        <v>0</v>
      </c>
      <c r="U352" s="17">
        <v>2.7</v>
      </c>
    </row>
    <row r="353" spans="1:21" x14ac:dyDescent="0.35">
      <c r="A353" s="18" t="s">
        <v>466</v>
      </c>
      <c r="B353" s="12" t="str">
        <f t="shared" si="5"/>
        <v>September</v>
      </c>
      <c r="C353" s="19">
        <v>45189</v>
      </c>
      <c r="D353" s="20" t="s">
        <v>120</v>
      </c>
      <c r="E353" s="20" t="s">
        <v>50</v>
      </c>
      <c r="F353" s="20" t="s">
        <v>124</v>
      </c>
      <c r="G353" s="20" t="s">
        <v>49</v>
      </c>
      <c r="H353" s="20" t="s">
        <v>66</v>
      </c>
      <c r="I353" s="20" t="s">
        <v>65</v>
      </c>
      <c r="J353" s="20" t="s">
        <v>99</v>
      </c>
      <c r="K353" s="18">
        <v>15</v>
      </c>
      <c r="L353" s="21">
        <v>1254</v>
      </c>
      <c r="M353" s="21">
        <v>18810</v>
      </c>
      <c r="N353" s="22">
        <v>25</v>
      </c>
      <c r="O353" s="21">
        <v>4702</v>
      </c>
      <c r="P353" s="21">
        <v>14108</v>
      </c>
      <c r="Q353" s="21">
        <v>7809</v>
      </c>
      <c r="R353" s="21">
        <v>6299</v>
      </c>
      <c r="S353" s="18">
        <v>1</v>
      </c>
      <c r="T353" s="21">
        <v>940</v>
      </c>
      <c r="U353" s="23">
        <v>4.4000000000000004</v>
      </c>
    </row>
    <row r="354" spans="1:21" x14ac:dyDescent="0.35">
      <c r="A354" s="12" t="s">
        <v>467</v>
      </c>
      <c r="B354" s="12" t="str">
        <f t="shared" si="5"/>
        <v>September</v>
      </c>
      <c r="C354" s="13">
        <v>45193</v>
      </c>
      <c r="D354" s="14" t="s">
        <v>101</v>
      </c>
      <c r="E354" s="14" t="s">
        <v>50</v>
      </c>
      <c r="F354" s="14" t="s">
        <v>106</v>
      </c>
      <c r="G354" s="14" t="s">
        <v>53</v>
      </c>
      <c r="H354" s="14" t="s">
        <v>68</v>
      </c>
      <c r="I354" s="14" t="s">
        <v>69</v>
      </c>
      <c r="J354" s="14" t="s">
        <v>103</v>
      </c>
      <c r="K354" s="12">
        <v>5</v>
      </c>
      <c r="L354" s="15">
        <v>1401</v>
      </c>
      <c r="M354" s="15">
        <v>7005</v>
      </c>
      <c r="N354" s="16">
        <v>25</v>
      </c>
      <c r="O354" s="15">
        <v>1751</v>
      </c>
      <c r="P354" s="15">
        <v>5254</v>
      </c>
      <c r="Q354" s="15">
        <v>2784</v>
      </c>
      <c r="R354" s="15">
        <v>2470</v>
      </c>
      <c r="S354" s="12">
        <v>0</v>
      </c>
      <c r="T354" s="15">
        <v>0</v>
      </c>
      <c r="U354" s="17">
        <v>2.8</v>
      </c>
    </row>
    <row r="355" spans="1:21" x14ac:dyDescent="0.35">
      <c r="A355" s="18" t="s">
        <v>468</v>
      </c>
      <c r="B355" s="12" t="str">
        <f t="shared" si="5"/>
        <v>September</v>
      </c>
      <c r="C355" s="19">
        <v>45193</v>
      </c>
      <c r="D355" s="20" t="s">
        <v>142</v>
      </c>
      <c r="E355" s="20" t="s">
        <v>50</v>
      </c>
      <c r="F355" s="20" t="s">
        <v>94</v>
      </c>
      <c r="G355" s="20" t="s">
        <v>55</v>
      </c>
      <c r="H355" s="20" t="s">
        <v>66</v>
      </c>
      <c r="I355" s="20" t="s">
        <v>69</v>
      </c>
      <c r="J355" s="20" t="s">
        <v>103</v>
      </c>
      <c r="K355" s="18">
        <v>2</v>
      </c>
      <c r="L355" s="21">
        <v>2675</v>
      </c>
      <c r="M355" s="21">
        <v>5350</v>
      </c>
      <c r="N355" s="22">
        <v>30</v>
      </c>
      <c r="O355" s="21">
        <v>1605</v>
      </c>
      <c r="P355" s="21">
        <v>3745</v>
      </c>
      <c r="Q355" s="21">
        <v>1755</v>
      </c>
      <c r="R355" s="21">
        <v>1990</v>
      </c>
      <c r="S355" s="18">
        <v>0</v>
      </c>
      <c r="T355" s="21">
        <v>0</v>
      </c>
      <c r="U355" s="23">
        <v>3.6</v>
      </c>
    </row>
    <row r="356" spans="1:21" x14ac:dyDescent="0.35">
      <c r="A356" s="12" t="s">
        <v>469</v>
      </c>
      <c r="B356" s="12" t="str">
        <f t="shared" si="5"/>
        <v>September</v>
      </c>
      <c r="C356" s="13">
        <v>45194</v>
      </c>
      <c r="D356" s="14" t="s">
        <v>122</v>
      </c>
      <c r="E356" s="14" t="s">
        <v>54</v>
      </c>
      <c r="F356" s="14" t="s">
        <v>108</v>
      </c>
      <c r="G356" s="14" t="s">
        <v>51</v>
      </c>
      <c r="H356" s="14" t="s">
        <v>66</v>
      </c>
      <c r="I356" s="14" t="s">
        <v>67</v>
      </c>
      <c r="J356" s="14" t="s">
        <v>95</v>
      </c>
      <c r="K356" s="12">
        <v>5</v>
      </c>
      <c r="L356" s="15">
        <v>2159</v>
      </c>
      <c r="M356" s="15">
        <v>10795</v>
      </c>
      <c r="N356" s="16">
        <v>20</v>
      </c>
      <c r="O356" s="15">
        <v>2159</v>
      </c>
      <c r="P356" s="15">
        <v>8636</v>
      </c>
      <c r="Q356" s="15">
        <v>4873</v>
      </c>
      <c r="R356" s="15">
        <v>3763</v>
      </c>
      <c r="S356" s="12">
        <v>0</v>
      </c>
      <c r="T356" s="15">
        <v>0</v>
      </c>
      <c r="U356" s="17">
        <v>2.5</v>
      </c>
    </row>
    <row r="357" spans="1:21" x14ac:dyDescent="0.35">
      <c r="A357" s="18" t="s">
        <v>470</v>
      </c>
      <c r="B357" s="12" t="str">
        <f t="shared" si="5"/>
        <v>September</v>
      </c>
      <c r="C357" s="19">
        <v>45194</v>
      </c>
      <c r="D357" s="20" t="s">
        <v>120</v>
      </c>
      <c r="E357" s="20" t="s">
        <v>58</v>
      </c>
      <c r="F357" s="20" t="s">
        <v>108</v>
      </c>
      <c r="G357" s="20" t="s">
        <v>57</v>
      </c>
      <c r="H357" s="20" t="s">
        <v>68</v>
      </c>
      <c r="I357" s="20" t="s">
        <v>71</v>
      </c>
      <c r="J357" s="20" t="s">
        <v>103</v>
      </c>
      <c r="K357" s="18">
        <v>3</v>
      </c>
      <c r="L357" s="21">
        <v>3566</v>
      </c>
      <c r="M357" s="21">
        <v>10698</v>
      </c>
      <c r="N357" s="22">
        <v>0</v>
      </c>
      <c r="O357" s="21">
        <v>0</v>
      </c>
      <c r="P357" s="21">
        <v>10698</v>
      </c>
      <c r="Q357" s="21">
        <v>5821</v>
      </c>
      <c r="R357" s="21">
        <v>4877</v>
      </c>
      <c r="S357" s="18">
        <v>0</v>
      </c>
      <c r="T357" s="21">
        <v>0</v>
      </c>
      <c r="U357" s="23">
        <v>3.1</v>
      </c>
    </row>
    <row r="358" spans="1:21" x14ac:dyDescent="0.35">
      <c r="A358" s="12" t="s">
        <v>471</v>
      </c>
      <c r="B358" s="12" t="str">
        <f t="shared" si="5"/>
        <v>September</v>
      </c>
      <c r="C358" s="13">
        <v>45195</v>
      </c>
      <c r="D358" s="14" t="s">
        <v>120</v>
      </c>
      <c r="E358" s="14" t="s">
        <v>50</v>
      </c>
      <c r="F358" s="14" t="s">
        <v>111</v>
      </c>
      <c r="G358" s="14" t="s">
        <v>57</v>
      </c>
      <c r="H358" s="14" t="s">
        <v>68</v>
      </c>
      <c r="I358" s="14" t="s">
        <v>67</v>
      </c>
      <c r="J358" s="14" t="s">
        <v>95</v>
      </c>
      <c r="K358" s="12">
        <v>13</v>
      </c>
      <c r="L358" s="15">
        <v>828</v>
      </c>
      <c r="M358" s="15">
        <v>10764</v>
      </c>
      <c r="N358" s="16">
        <v>10</v>
      </c>
      <c r="O358" s="15">
        <v>1076</v>
      </c>
      <c r="P358" s="15">
        <v>9688</v>
      </c>
      <c r="Q358" s="15">
        <v>6130</v>
      </c>
      <c r="R358" s="15">
        <v>3558</v>
      </c>
      <c r="S358" s="12">
        <v>2</v>
      </c>
      <c r="T358" s="15">
        <v>1490</v>
      </c>
      <c r="U358" s="17">
        <v>4.3</v>
      </c>
    </row>
    <row r="359" spans="1:21" x14ac:dyDescent="0.35">
      <c r="A359" s="18" t="s">
        <v>472</v>
      </c>
      <c r="B359" s="12" t="str">
        <f t="shared" si="5"/>
        <v>September</v>
      </c>
      <c r="C359" s="19">
        <v>45195</v>
      </c>
      <c r="D359" s="20" t="s">
        <v>122</v>
      </c>
      <c r="E359" s="20" t="s">
        <v>52</v>
      </c>
      <c r="F359" s="20" t="s">
        <v>106</v>
      </c>
      <c r="G359" s="20" t="s">
        <v>57</v>
      </c>
      <c r="H359" s="20" t="s">
        <v>64</v>
      </c>
      <c r="I359" s="20" t="s">
        <v>69</v>
      </c>
      <c r="J359" s="20" t="s">
        <v>103</v>
      </c>
      <c r="K359" s="18">
        <v>12</v>
      </c>
      <c r="L359" s="21">
        <v>4902</v>
      </c>
      <c r="M359" s="21">
        <v>58824</v>
      </c>
      <c r="N359" s="22">
        <v>50</v>
      </c>
      <c r="O359" s="21">
        <v>29412</v>
      </c>
      <c r="P359" s="21">
        <v>29412</v>
      </c>
      <c r="Q359" s="21">
        <v>20494</v>
      </c>
      <c r="R359" s="21">
        <v>8918</v>
      </c>
      <c r="S359" s="18">
        <v>3</v>
      </c>
      <c r="T359" s="21">
        <v>7353</v>
      </c>
      <c r="U359" s="23">
        <v>4.3</v>
      </c>
    </row>
    <row r="360" spans="1:21" x14ac:dyDescent="0.35">
      <c r="A360" s="12" t="s">
        <v>473</v>
      </c>
      <c r="B360" s="12" t="str">
        <f t="shared" si="5"/>
        <v>September</v>
      </c>
      <c r="C360" s="13">
        <v>45196</v>
      </c>
      <c r="D360" s="14" t="s">
        <v>115</v>
      </c>
      <c r="E360" s="14" t="s">
        <v>50</v>
      </c>
      <c r="F360" s="14" t="s">
        <v>94</v>
      </c>
      <c r="G360" s="14" t="s">
        <v>51</v>
      </c>
      <c r="H360" s="14" t="s">
        <v>68</v>
      </c>
      <c r="I360" s="14" t="s">
        <v>71</v>
      </c>
      <c r="J360" s="14" t="s">
        <v>99</v>
      </c>
      <c r="K360" s="12">
        <v>9</v>
      </c>
      <c r="L360" s="15">
        <v>1964</v>
      </c>
      <c r="M360" s="15">
        <v>17676</v>
      </c>
      <c r="N360" s="16">
        <v>20</v>
      </c>
      <c r="O360" s="15">
        <v>3535</v>
      </c>
      <c r="P360" s="15">
        <v>14141</v>
      </c>
      <c r="Q360" s="15">
        <v>8520</v>
      </c>
      <c r="R360" s="15">
        <v>5621</v>
      </c>
      <c r="S360" s="12">
        <v>0</v>
      </c>
      <c r="T360" s="15">
        <v>0</v>
      </c>
      <c r="U360" s="17">
        <v>4.9000000000000004</v>
      </c>
    </row>
    <row r="361" spans="1:21" x14ac:dyDescent="0.35">
      <c r="A361" s="18" t="s">
        <v>474</v>
      </c>
      <c r="B361" s="12" t="str">
        <f t="shared" si="5"/>
        <v>September</v>
      </c>
      <c r="C361" s="19">
        <v>45196</v>
      </c>
      <c r="D361" s="20" t="s">
        <v>142</v>
      </c>
      <c r="E361" s="20" t="s">
        <v>50</v>
      </c>
      <c r="F361" s="20" t="s">
        <v>151</v>
      </c>
      <c r="G361" s="20" t="s">
        <v>53</v>
      </c>
      <c r="H361" s="20" t="s">
        <v>66</v>
      </c>
      <c r="I361" s="20" t="s">
        <v>70</v>
      </c>
      <c r="J361" s="20" t="s">
        <v>95</v>
      </c>
      <c r="K361" s="18">
        <v>6</v>
      </c>
      <c r="L361" s="21">
        <v>3669</v>
      </c>
      <c r="M361" s="21">
        <v>22014</v>
      </c>
      <c r="N361" s="22">
        <v>25</v>
      </c>
      <c r="O361" s="21">
        <v>5504</v>
      </c>
      <c r="P361" s="21">
        <v>16510</v>
      </c>
      <c r="Q361" s="21">
        <v>7675</v>
      </c>
      <c r="R361" s="21">
        <v>8835</v>
      </c>
      <c r="S361" s="18">
        <v>0</v>
      </c>
      <c r="T361" s="21">
        <v>0</v>
      </c>
      <c r="U361" s="23">
        <v>4</v>
      </c>
    </row>
    <row r="362" spans="1:21" x14ac:dyDescent="0.35">
      <c r="A362" s="12" t="s">
        <v>475</v>
      </c>
      <c r="B362" s="12" t="str">
        <f t="shared" si="5"/>
        <v>September</v>
      </c>
      <c r="C362" s="13">
        <v>45197</v>
      </c>
      <c r="D362" s="14" t="s">
        <v>113</v>
      </c>
      <c r="E362" s="14" t="s">
        <v>54</v>
      </c>
      <c r="F362" s="14" t="s">
        <v>102</v>
      </c>
      <c r="G362" s="14" t="s">
        <v>49</v>
      </c>
      <c r="H362" s="14" t="s">
        <v>66</v>
      </c>
      <c r="I362" s="14" t="s">
        <v>69</v>
      </c>
      <c r="J362" s="14" t="s">
        <v>103</v>
      </c>
      <c r="K362" s="12">
        <v>15</v>
      </c>
      <c r="L362" s="15">
        <v>2823</v>
      </c>
      <c r="M362" s="15">
        <v>42345</v>
      </c>
      <c r="N362" s="16">
        <v>20</v>
      </c>
      <c r="O362" s="15">
        <v>8469</v>
      </c>
      <c r="P362" s="15">
        <v>33876</v>
      </c>
      <c r="Q362" s="15">
        <v>21753</v>
      </c>
      <c r="R362" s="15">
        <v>12123</v>
      </c>
      <c r="S362" s="12">
        <v>2</v>
      </c>
      <c r="T362" s="15">
        <v>4517</v>
      </c>
      <c r="U362" s="17">
        <v>2.8</v>
      </c>
    </row>
    <row r="363" spans="1:21" x14ac:dyDescent="0.35">
      <c r="A363" s="18" t="s">
        <v>476</v>
      </c>
      <c r="B363" s="12" t="str">
        <f t="shared" si="5"/>
        <v>September</v>
      </c>
      <c r="C363" s="19">
        <v>45198</v>
      </c>
      <c r="D363" s="20" t="s">
        <v>97</v>
      </c>
      <c r="E363" s="20" t="s">
        <v>50</v>
      </c>
      <c r="F363" s="20" t="s">
        <v>134</v>
      </c>
      <c r="G363" s="20" t="s">
        <v>51</v>
      </c>
      <c r="H363" s="20" t="s">
        <v>64</v>
      </c>
      <c r="I363" s="20" t="s">
        <v>70</v>
      </c>
      <c r="J363" s="20" t="s">
        <v>95</v>
      </c>
      <c r="K363" s="18">
        <v>10</v>
      </c>
      <c r="L363" s="21">
        <v>4392</v>
      </c>
      <c r="M363" s="21">
        <v>43920</v>
      </c>
      <c r="N363" s="22">
        <v>15</v>
      </c>
      <c r="O363" s="21">
        <v>6588</v>
      </c>
      <c r="P363" s="21">
        <v>37332</v>
      </c>
      <c r="Q363" s="21">
        <v>21444</v>
      </c>
      <c r="R363" s="21">
        <v>15888</v>
      </c>
      <c r="S363" s="18">
        <v>2</v>
      </c>
      <c r="T363" s="21">
        <v>7466</v>
      </c>
      <c r="U363" s="23">
        <v>2.9</v>
      </c>
    </row>
    <row r="364" spans="1:21" x14ac:dyDescent="0.35">
      <c r="A364" s="12" t="s">
        <v>477</v>
      </c>
      <c r="B364" s="12" t="str">
        <f t="shared" si="5"/>
        <v>September</v>
      </c>
      <c r="C364" s="13">
        <v>45198</v>
      </c>
      <c r="D364" s="14" t="s">
        <v>115</v>
      </c>
      <c r="E364" s="14" t="s">
        <v>52</v>
      </c>
      <c r="F364" s="14" t="s">
        <v>151</v>
      </c>
      <c r="G364" s="14" t="s">
        <v>49</v>
      </c>
      <c r="H364" s="14" t="s">
        <v>66</v>
      </c>
      <c r="I364" s="14" t="s">
        <v>70</v>
      </c>
      <c r="J364" s="14" t="s">
        <v>95</v>
      </c>
      <c r="K364" s="12">
        <v>12</v>
      </c>
      <c r="L364" s="15">
        <v>4421</v>
      </c>
      <c r="M364" s="15">
        <v>53052</v>
      </c>
      <c r="N364" s="16">
        <v>20</v>
      </c>
      <c r="O364" s="15">
        <v>10610</v>
      </c>
      <c r="P364" s="15">
        <v>42442</v>
      </c>
      <c r="Q364" s="15">
        <v>20467</v>
      </c>
      <c r="R364" s="15">
        <v>21975</v>
      </c>
      <c r="S364" s="12">
        <v>3</v>
      </c>
      <c r="T364" s="15">
        <v>10610</v>
      </c>
      <c r="U364" s="17">
        <v>3.8</v>
      </c>
    </row>
    <row r="365" spans="1:21" x14ac:dyDescent="0.35">
      <c r="A365" s="18" t="s">
        <v>478</v>
      </c>
      <c r="B365" s="12" t="str">
        <f t="shared" si="5"/>
        <v>September</v>
      </c>
      <c r="C365" s="19">
        <v>45198</v>
      </c>
      <c r="D365" s="20" t="s">
        <v>105</v>
      </c>
      <c r="E365" s="20" t="s">
        <v>50</v>
      </c>
      <c r="F365" s="20" t="s">
        <v>102</v>
      </c>
      <c r="G365" s="20" t="s">
        <v>49</v>
      </c>
      <c r="H365" s="20" t="s">
        <v>64</v>
      </c>
      <c r="I365" s="20" t="s">
        <v>67</v>
      </c>
      <c r="J365" s="20" t="s">
        <v>99</v>
      </c>
      <c r="K365" s="18">
        <v>4</v>
      </c>
      <c r="L365" s="21">
        <v>4550</v>
      </c>
      <c r="M365" s="21">
        <v>18200</v>
      </c>
      <c r="N365" s="22">
        <v>15</v>
      </c>
      <c r="O365" s="21">
        <v>2730</v>
      </c>
      <c r="P365" s="21">
        <v>15470</v>
      </c>
      <c r="Q365" s="21">
        <v>10670</v>
      </c>
      <c r="R365" s="21">
        <v>4800</v>
      </c>
      <c r="S365" s="18">
        <v>1</v>
      </c>
      <c r="T365" s="21">
        <v>3868</v>
      </c>
      <c r="U365" s="23">
        <v>3.5</v>
      </c>
    </row>
    <row r="366" spans="1:21" x14ac:dyDescent="0.35">
      <c r="A366" s="12" t="s">
        <v>479</v>
      </c>
      <c r="B366" s="12" t="str">
        <f t="shared" si="5"/>
        <v>September</v>
      </c>
      <c r="C366" s="13">
        <v>45198</v>
      </c>
      <c r="D366" s="14" t="s">
        <v>115</v>
      </c>
      <c r="E366" s="14" t="s">
        <v>56</v>
      </c>
      <c r="F366" s="14" t="s">
        <v>151</v>
      </c>
      <c r="G366" s="14" t="s">
        <v>49</v>
      </c>
      <c r="H366" s="14" t="s">
        <v>66</v>
      </c>
      <c r="I366" s="14" t="s">
        <v>67</v>
      </c>
      <c r="J366" s="14" t="s">
        <v>99</v>
      </c>
      <c r="K366" s="12">
        <v>10</v>
      </c>
      <c r="L366" s="15">
        <v>4614</v>
      </c>
      <c r="M366" s="15">
        <v>46140</v>
      </c>
      <c r="N366" s="16">
        <v>20</v>
      </c>
      <c r="O366" s="15">
        <v>9228</v>
      </c>
      <c r="P366" s="15">
        <v>36912</v>
      </c>
      <c r="Q366" s="15">
        <v>19701</v>
      </c>
      <c r="R366" s="15">
        <v>17211</v>
      </c>
      <c r="S366" s="12">
        <v>1</v>
      </c>
      <c r="T366" s="15">
        <v>3691</v>
      </c>
      <c r="U366" s="17">
        <v>4.5</v>
      </c>
    </row>
    <row r="367" spans="1:21" x14ac:dyDescent="0.35">
      <c r="A367" s="18" t="s">
        <v>480</v>
      </c>
      <c r="B367" s="12" t="str">
        <f t="shared" si="5"/>
        <v>October</v>
      </c>
      <c r="C367" s="19">
        <v>45200</v>
      </c>
      <c r="D367" s="20" t="s">
        <v>93</v>
      </c>
      <c r="E367" s="20" t="s">
        <v>59</v>
      </c>
      <c r="F367" s="20" t="s">
        <v>124</v>
      </c>
      <c r="G367" s="20" t="s">
        <v>55</v>
      </c>
      <c r="H367" s="20" t="s">
        <v>68</v>
      </c>
      <c r="I367" s="20" t="s">
        <v>69</v>
      </c>
      <c r="J367" s="20" t="s">
        <v>99</v>
      </c>
      <c r="K367" s="18">
        <v>13</v>
      </c>
      <c r="L367" s="21">
        <v>1676</v>
      </c>
      <c r="M367" s="21">
        <v>21788</v>
      </c>
      <c r="N367" s="22">
        <v>15</v>
      </c>
      <c r="O367" s="21">
        <v>3268</v>
      </c>
      <c r="P367" s="21">
        <v>18520</v>
      </c>
      <c r="Q367" s="21">
        <v>12023</v>
      </c>
      <c r="R367" s="21">
        <v>6497</v>
      </c>
      <c r="S367" s="18">
        <v>2</v>
      </c>
      <c r="T367" s="21">
        <v>2849</v>
      </c>
      <c r="U367" s="23">
        <v>3</v>
      </c>
    </row>
    <row r="368" spans="1:21" x14ac:dyDescent="0.35">
      <c r="A368" s="12" t="s">
        <v>481</v>
      </c>
      <c r="B368" s="12" t="str">
        <f t="shared" si="5"/>
        <v>October</v>
      </c>
      <c r="C368" s="13">
        <v>45200</v>
      </c>
      <c r="D368" s="14" t="s">
        <v>120</v>
      </c>
      <c r="E368" s="14" t="s">
        <v>58</v>
      </c>
      <c r="F368" s="14" t="s">
        <v>151</v>
      </c>
      <c r="G368" s="14" t="s">
        <v>55</v>
      </c>
      <c r="H368" s="14" t="s">
        <v>68</v>
      </c>
      <c r="I368" s="14" t="s">
        <v>71</v>
      </c>
      <c r="J368" s="14" t="s">
        <v>99</v>
      </c>
      <c r="K368" s="12">
        <v>10</v>
      </c>
      <c r="L368" s="15">
        <v>3748</v>
      </c>
      <c r="M368" s="15">
        <v>37480</v>
      </c>
      <c r="N368" s="16">
        <v>30</v>
      </c>
      <c r="O368" s="15">
        <v>11244</v>
      </c>
      <c r="P368" s="15">
        <v>26236</v>
      </c>
      <c r="Q368" s="15">
        <v>14121</v>
      </c>
      <c r="R368" s="15">
        <v>12115</v>
      </c>
      <c r="S368" s="12">
        <v>1</v>
      </c>
      <c r="T368" s="15">
        <v>2624</v>
      </c>
      <c r="U368" s="17">
        <v>3.2</v>
      </c>
    </row>
    <row r="369" spans="1:21" x14ac:dyDescent="0.35">
      <c r="A369" s="18" t="s">
        <v>482</v>
      </c>
      <c r="B369" s="12" t="str">
        <f t="shared" si="5"/>
        <v>October</v>
      </c>
      <c r="C369" s="19">
        <v>45202</v>
      </c>
      <c r="D369" s="20" t="s">
        <v>115</v>
      </c>
      <c r="E369" s="20" t="s">
        <v>48</v>
      </c>
      <c r="F369" s="20" t="s">
        <v>98</v>
      </c>
      <c r="G369" s="20" t="s">
        <v>53</v>
      </c>
      <c r="H369" s="20" t="s">
        <v>64</v>
      </c>
      <c r="I369" s="20" t="s">
        <v>67</v>
      </c>
      <c r="J369" s="20" t="s">
        <v>95</v>
      </c>
      <c r="K369" s="18">
        <v>7</v>
      </c>
      <c r="L369" s="21">
        <v>4555</v>
      </c>
      <c r="M369" s="21">
        <v>31885</v>
      </c>
      <c r="N369" s="22">
        <v>50</v>
      </c>
      <c r="O369" s="21">
        <v>15942</v>
      </c>
      <c r="P369" s="21">
        <v>15943</v>
      </c>
      <c r="Q369" s="21">
        <v>7742</v>
      </c>
      <c r="R369" s="21">
        <v>8201</v>
      </c>
      <c r="S369" s="18">
        <v>0</v>
      </c>
      <c r="T369" s="21">
        <v>0</v>
      </c>
      <c r="U369" s="23">
        <v>3.1</v>
      </c>
    </row>
    <row r="370" spans="1:21" x14ac:dyDescent="0.35">
      <c r="A370" s="12" t="s">
        <v>483</v>
      </c>
      <c r="B370" s="12" t="str">
        <f t="shared" si="5"/>
        <v>October</v>
      </c>
      <c r="C370" s="13">
        <v>45203</v>
      </c>
      <c r="D370" s="14" t="s">
        <v>101</v>
      </c>
      <c r="E370" s="14" t="s">
        <v>58</v>
      </c>
      <c r="F370" s="14" t="s">
        <v>102</v>
      </c>
      <c r="G370" s="14" t="s">
        <v>49</v>
      </c>
      <c r="H370" s="14" t="s">
        <v>66</v>
      </c>
      <c r="I370" s="14" t="s">
        <v>67</v>
      </c>
      <c r="J370" s="14" t="s">
        <v>99</v>
      </c>
      <c r="K370" s="12">
        <v>1</v>
      </c>
      <c r="L370" s="15">
        <v>825</v>
      </c>
      <c r="M370" s="15">
        <v>825</v>
      </c>
      <c r="N370" s="16">
        <v>25</v>
      </c>
      <c r="O370" s="15">
        <v>206</v>
      </c>
      <c r="P370" s="15">
        <v>619</v>
      </c>
      <c r="Q370" s="15">
        <v>415</v>
      </c>
      <c r="R370" s="15">
        <v>204</v>
      </c>
      <c r="S370" s="12">
        <v>1</v>
      </c>
      <c r="T370" s="15">
        <v>619</v>
      </c>
      <c r="U370" s="17">
        <v>3.1</v>
      </c>
    </row>
    <row r="371" spans="1:21" x14ac:dyDescent="0.35">
      <c r="A371" s="18" t="s">
        <v>484</v>
      </c>
      <c r="B371" s="12" t="str">
        <f t="shared" si="5"/>
        <v>October</v>
      </c>
      <c r="C371" s="19">
        <v>45203</v>
      </c>
      <c r="D371" s="20" t="s">
        <v>142</v>
      </c>
      <c r="E371" s="20" t="s">
        <v>52</v>
      </c>
      <c r="F371" s="20" t="s">
        <v>151</v>
      </c>
      <c r="G371" s="20" t="s">
        <v>51</v>
      </c>
      <c r="H371" s="20" t="s">
        <v>66</v>
      </c>
      <c r="I371" s="20" t="s">
        <v>67</v>
      </c>
      <c r="J371" s="20" t="s">
        <v>95</v>
      </c>
      <c r="K371" s="18">
        <v>14</v>
      </c>
      <c r="L371" s="21">
        <v>4606</v>
      </c>
      <c r="M371" s="21">
        <v>64484</v>
      </c>
      <c r="N371" s="22">
        <v>25</v>
      </c>
      <c r="O371" s="21">
        <v>16121</v>
      </c>
      <c r="P371" s="21">
        <v>48363</v>
      </c>
      <c r="Q371" s="21">
        <v>28745</v>
      </c>
      <c r="R371" s="21">
        <v>19618</v>
      </c>
      <c r="S371" s="18">
        <v>2</v>
      </c>
      <c r="T371" s="21">
        <v>6909</v>
      </c>
      <c r="U371" s="23">
        <v>3.1</v>
      </c>
    </row>
    <row r="372" spans="1:21" x14ac:dyDescent="0.35">
      <c r="A372" s="12" t="s">
        <v>485</v>
      </c>
      <c r="B372" s="12" t="str">
        <f t="shared" si="5"/>
        <v>October</v>
      </c>
      <c r="C372" s="13">
        <v>45203</v>
      </c>
      <c r="D372" s="14" t="s">
        <v>105</v>
      </c>
      <c r="E372" s="14" t="s">
        <v>52</v>
      </c>
      <c r="F372" s="14" t="s">
        <v>151</v>
      </c>
      <c r="G372" s="14" t="s">
        <v>55</v>
      </c>
      <c r="H372" s="14" t="s">
        <v>66</v>
      </c>
      <c r="I372" s="14" t="s">
        <v>65</v>
      </c>
      <c r="J372" s="14" t="s">
        <v>95</v>
      </c>
      <c r="K372" s="12">
        <v>10</v>
      </c>
      <c r="L372" s="15">
        <v>2815</v>
      </c>
      <c r="M372" s="15">
        <v>28150</v>
      </c>
      <c r="N372" s="16">
        <v>25</v>
      </c>
      <c r="O372" s="15">
        <v>7038</v>
      </c>
      <c r="P372" s="15">
        <v>21112</v>
      </c>
      <c r="Q372" s="15">
        <v>11260</v>
      </c>
      <c r="R372" s="15">
        <v>9852</v>
      </c>
      <c r="S372" s="12">
        <v>1</v>
      </c>
      <c r="T372" s="15">
        <v>2111</v>
      </c>
      <c r="U372" s="17">
        <v>3.5</v>
      </c>
    </row>
    <row r="373" spans="1:21" x14ac:dyDescent="0.35">
      <c r="A373" s="18" t="s">
        <v>486</v>
      </c>
      <c r="B373" s="12" t="str">
        <f t="shared" si="5"/>
        <v>October</v>
      </c>
      <c r="C373" s="19">
        <v>45203</v>
      </c>
      <c r="D373" s="20" t="s">
        <v>101</v>
      </c>
      <c r="E373" s="20" t="s">
        <v>56</v>
      </c>
      <c r="F373" s="20" t="s">
        <v>108</v>
      </c>
      <c r="G373" s="20" t="s">
        <v>55</v>
      </c>
      <c r="H373" s="20" t="s">
        <v>66</v>
      </c>
      <c r="I373" s="20" t="s">
        <v>65</v>
      </c>
      <c r="J373" s="20" t="s">
        <v>95</v>
      </c>
      <c r="K373" s="18">
        <v>1</v>
      </c>
      <c r="L373" s="21">
        <v>1894</v>
      </c>
      <c r="M373" s="21">
        <v>1894</v>
      </c>
      <c r="N373" s="22">
        <v>25</v>
      </c>
      <c r="O373" s="21">
        <v>474</v>
      </c>
      <c r="P373" s="21">
        <v>1420</v>
      </c>
      <c r="Q373" s="21">
        <v>919</v>
      </c>
      <c r="R373" s="21">
        <v>501</v>
      </c>
      <c r="S373" s="18">
        <v>0</v>
      </c>
      <c r="T373" s="21">
        <v>0</v>
      </c>
      <c r="U373" s="23">
        <v>3.5</v>
      </c>
    </row>
    <row r="374" spans="1:21" x14ac:dyDescent="0.35">
      <c r="A374" s="12" t="s">
        <v>487</v>
      </c>
      <c r="B374" s="12" t="str">
        <f t="shared" si="5"/>
        <v>October</v>
      </c>
      <c r="C374" s="13">
        <v>45204</v>
      </c>
      <c r="D374" s="14" t="s">
        <v>131</v>
      </c>
      <c r="E374" s="14" t="s">
        <v>58</v>
      </c>
      <c r="F374" s="14" t="s">
        <v>151</v>
      </c>
      <c r="G374" s="14" t="s">
        <v>55</v>
      </c>
      <c r="H374" s="14" t="s">
        <v>66</v>
      </c>
      <c r="I374" s="14" t="s">
        <v>70</v>
      </c>
      <c r="J374" s="14" t="s">
        <v>99</v>
      </c>
      <c r="K374" s="12">
        <v>2</v>
      </c>
      <c r="L374" s="15">
        <v>3758</v>
      </c>
      <c r="M374" s="15">
        <v>7516</v>
      </c>
      <c r="N374" s="16">
        <v>15</v>
      </c>
      <c r="O374" s="15">
        <v>1127</v>
      </c>
      <c r="P374" s="15">
        <v>6389</v>
      </c>
      <c r="Q374" s="15">
        <v>3351</v>
      </c>
      <c r="R374" s="15">
        <v>3038</v>
      </c>
      <c r="S374" s="12">
        <v>0</v>
      </c>
      <c r="T374" s="15">
        <v>0</v>
      </c>
      <c r="U374" s="17">
        <v>3.6</v>
      </c>
    </row>
    <row r="375" spans="1:21" x14ac:dyDescent="0.35">
      <c r="A375" s="18" t="s">
        <v>488</v>
      </c>
      <c r="B375" s="12" t="str">
        <f t="shared" si="5"/>
        <v>October</v>
      </c>
      <c r="C375" s="19">
        <v>45205</v>
      </c>
      <c r="D375" s="20" t="s">
        <v>142</v>
      </c>
      <c r="E375" s="20" t="s">
        <v>56</v>
      </c>
      <c r="F375" s="20" t="s">
        <v>108</v>
      </c>
      <c r="G375" s="20" t="s">
        <v>57</v>
      </c>
      <c r="H375" s="20" t="s">
        <v>66</v>
      </c>
      <c r="I375" s="20" t="s">
        <v>71</v>
      </c>
      <c r="J375" s="20" t="s">
        <v>95</v>
      </c>
      <c r="K375" s="18">
        <v>11</v>
      </c>
      <c r="L375" s="21">
        <v>4139</v>
      </c>
      <c r="M375" s="21">
        <v>45529</v>
      </c>
      <c r="N375" s="22">
        <v>20</v>
      </c>
      <c r="O375" s="21">
        <v>9106</v>
      </c>
      <c r="P375" s="21">
        <v>36423</v>
      </c>
      <c r="Q375" s="21">
        <v>24875</v>
      </c>
      <c r="R375" s="21">
        <v>11548</v>
      </c>
      <c r="S375" s="18">
        <v>0</v>
      </c>
      <c r="T375" s="21">
        <v>0</v>
      </c>
      <c r="U375" s="23">
        <v>4.8</v>
      </c>
    </row>
    <row r="376" spans="1:21" x14ac:dyDescent="0.35">
      <c r="A376" s="12" t="s">
        <v>489</v>
      </c>
      <c r="B376" s="12" t="str">
        <f t="shared" si="5"/>
        <v>October</v>
      </c>
      <c r="C376" s="13">
        <v>45205</v>
      </c>
      <c r="D376" s="14" t="s">
        <v>101</v>
      </c>
      <c r="E376" s="14" t="s">
        <v>48</v>
      </c>
      <c r="F376" s="14" t="s">
        <v>151</v>
      </c>
      <c r="G376" s="14" t="s">
        <v>51</v>
      </c>
      <c r="H376" s="14" t="s">
        <v>68</v>
      </c>
      <c r="I376" s="14" t="s">
        <v>69</v>
      </c>
      <c r="J376" s="14" t="s">
        <v>95</v>
      </c>
      <c r="K376" s="12">
        <v>10</v>
      </c>
      <c r="L376" s="15">
        <v>977</v>
      </c>
      <c r="M376" s="15">
        <v>9770</v>
      </c>
      <c r="N376" s="16">
        <v>30</v>
      </c>
      <c r="O376" s="15">
        <v>2931</v>
      </c>
      <c r="P376" s="15">
        <v>6839</v>
      </c>
      <c r="Q376" s="15">
        <v>4666</v>
      </c>
      <c r="R376" s="15">
        <v>2173</v>
      </c>
      <c r="S376" s="12">
        <v>1</v>
      </c>
      <c r="T376" s="15">
        <v>684</v>
      </c>
      <c r="U376" s="17">
        <v>2.9</v>
      </c>
    </row>
    <row r="377" spans="1:21" x14ac:dyDescent="0.35">
      <c r="A377" s="18" t="s">
        <v>490</v>
      </c>
      <c r="B377" s="12" t="str">
        <f t="shared" si="5"/>
        <v>October</v>
      </c>
      <c r="C377" s="19">
        <v>45206</v>
      </c>
      <c r="D377" s="20" t="s">
        <v>113</v>
      </c>
      <c r="E377" s="20" t="s">
        <v>58</v>
      </c>
      <c r="F377" s="20" t="s">
        <v>106</v>
      </c>
      <c r="G377" s="20" t="s">
        <v>51</v>
      </c>
      <c r="H377" s="20" t="s">
        <v>64</v>
      </c>
      <c r="I377" s="20" t="s">
        <v>65</v>
      </c>
      <c r="J377" s="20" t="s">
        <v>95</v>
      </c>
      <c r="K377" s="18">
        <v>4</v>
      </c>
      <c r="L377" s="21">
        <v>2844</v>
      </c>
      <c r="M377" s="21">
        <v>11376</v>
      </c>
      <c r="N377" s="22">
        <v>0</v>
      </c>
      <c r="O377" s="21">
        <v>0</v>
      </c>
      <c r="P377" s="21">
        <v>11376</v>
      </c>
      <c r="Q377" s="21">
        <v>7824</v>
      </c>
      <c r="R377" s="21">
        <v>3552</v>
      </c>
      <c r="S377" s="18">
        <v>0</v>
      </c>
      <c r="T377" s="21">
        <v>0</v>
      </c>
      <c r="U377" s="23">
        <v>4.4000000000000004</v>
      </c>
    </row>
    <row r="378" spans="1:21" x14ac:dyDescent="0.35">
      <c r="A378" s="12" t="s">
        <v>491</v>
      </c>
      <c r="B378" s="12" t="str">
        <f t="shared" si="5"/>
        <v>October</v>
      </c>
      <c r="C378" s="13">
        <v>45206</v>
      </c>
      <c r="D378" s="14" t="s">
        <v>113</v>
      </c>
      <c r="E378" s="14" t="s">
        <v>54</v>
      </c>
      <c r="F378" s="14" t="s">
        <v>111</v>
      </c>
      <c r="G378" s="14" t="s">
        <v>53</v>
      </c>
      <c r="H378" s="14" t="s">
        <v>66</v>
      </c>
      <c r="I378" s="14" t="s">
        <v>67</v>
      </c>
      <c r="J378" s="14" t="s">
        <v>95</v>
      </c>
      <c r="K378" s="12">
        <v>9</v>
      </c>
      <c r="L378" s="15">
        <v>4410</v>
      </c>
      <c r="M378" s="15">
        <v>39690</v>
      </c>
      <c r="N378" s="16">
        <v>10</v>
      </c>
      <c r="O378" s="15">
        <v>3969</v>
      </c>
      <c r="P378" s="15">
        <v>35721</v>
      </c>
      <c r="Q378" s="15">
        <v>17175</v>
      </c>
      <c r="R378" s="15">
        <v>18546</v>
      </c>
      <c r="S378" s="12">
        <v>0</v>
      </c>
      <c r="T378" s="15">
        <v>0</v>
      </c>
      <c r="U378" s="17">
        <v>3.9</v>
      </c>
    </row>
    <row r="379" spans="1:21" x14ac:dyDescent="0.35">
      <c r="A379" s="18" t="s">
        <v>492</v>
      </c>
      <c r="B379" s="12" t="str">
        <f t="shared" si="5"/>
        <v>October</v>
      </c>
      <c r="C379" s="19">
        <v>45206</v>
      </c>
      <c r="D379" s="20" t="s">
        <v>122</v>
      </c>
      <c r="E379" s="20" t="s">
        <v>52</v>
      </c>
      <c r="F379" s="20" t="s">
        <v>116</v>
      </c>
      <c r="G379" s="20" t="s">
        <v>57</v>
      </c>
      <c r="H379" s="20" t="s">
        <v>66</v>
      </c>
      <c r="I379" s="20" t="s">
        <v>67</v>
      </c>
      <c r="J379" s="20" t="s">
        <v>99</v>
      </c>
      <c r="K379" s="18">
        <v>8</v>
      </c>
      <c r="L379" s="21">
        <v>2402</v>
      </c>
      <c r="M379" s="21">
        <v>19216</v>
      </c>
      <c r="N379" s="22">
        <v>30</v>
      </c>
      <c r="O379" s="21">
        <v>5765</v>
      </c>
      <c r="P379" s="21">
        <v>13451</v>
      </c>
      <c r="Q379" s="21">
        <v>6054</v>
      </c>
      <c r="R379" s="21">
        <v>7397</v>
      </c>
      <c r="S379" s="18">
        <v>0</v>
      </c>
      <c r="T379" s="21">
        <v>0</v>
      </c>
      <c r="U379" s="23">
        <v>5</v>
      </c>
    </row>
    <row r="380" spans="1:21" x14ac:dyDescent="0.35">
      <c r="A380" s="12" t="s">
        <v>493</v>
      </c>
      <c r="B380" s="12" t="str">
        <f t="shared" si="5"/>
        <v>October</v>
      </c>
      <c r="C380" s="13">
        <v>45207</v>
      </c>
      <c r="D380" s="14" t="s">
        <v>93</v>
      </c>
      <c r="E380" s="14" t="s">
        <v>56</v>
      </c>
      <c r="F380" s="14" t="s">
        <v>94</v>
      </c>
      <c r="G380" s="14" t="s">
        <v>55</v>
      </c>
      <c r="H380" s="14" t="s">
        <v>66</v>
      </c>
      <c r="I380" s="14" t="s">
        <v>71</v>
      </c>
      <c r="J380" s="14" t="s">
        <v>99</v>
      </c>
      <c r="K380" s="12">
        <v>8</v>
      </c>
      <c r="L380" s="15">
        <v>2675</v>
      </c>
      <c r="M380" s="15">
        <v>21400</v>
      </c>
      <c r="N380" s="16">
        <v>30</v>
      </c>
      <c r="O380" s="15">
        <v>6420</v>
      </c>
      <c r="P380" s="15">
        <v>14980</v>
      </c>
      <c r="Q380" s="15">
        <v>7112</v>
      </c>
      <c r="R380" s="15">
        <v>7868</v>
      </c>
      <c r="S380" s="12">
        <v>2</v>
      </c>
      <c r="T380" s="15">
        <v>3745</v>
      </c>
      <c r="U380" s="17">
        <v>2.8</v>
      </c>
    </row>
    <row r="381" spans="1:21" x14ac:dyDescent="0.35">
      <c r="A381" s="18" t="s">
        <v>494</v>
      </c>
      <c r="B381" s="12" t="str">
        <f t="shared" si="5"/>
        <v>October</v>
      </c>
      <c r="C381" s="19">
        <v>45207</v>
      </c>
      <c r="D381" s="20" t="s">
        <v>113</v>
      </c>
      <c r="E381" s="20" t="s">
        <v>54</v>
      </c>
      <c r="F381" s="20" t="s">
        <v>106</v>
      </c>
      <c r="G381" s="20" t="s">
        <v>53</v>
      </c>
      <c r="H381" s="20" t="s">
        <v>68</v>
      </c>
      <c r="I381" s="20" t="s">
        <v>71</v>
      </c>
      <c r="J381" s="20" t="s">
        <v>99</v>
      </c>
      <c r="K381" s="18">
        <v>6</v>
      </c>
      <c r="L381" s="21">
        <v>1163</v>
      </c>
      <c r="M381" s="21">
        <v>6978</v>
      </c>
      <c r="N381" s="22">
        <v>30</v>
      </c>
      <c r="O381" s="21">
        <v>2093</v>
      </c>
      <c r="P381" s="21">
        <v>4885</v>
      </c>
      <c r="Q381" s="21">
        <v>2455</v>
      </c>
      <c r="R381" s="21">
        <v>2430</v>
      </c>
      <c r="S381" s="18">
        <v>1</v>
      </c>
      <c r="T381" s="21">
        <v>814</v>
      </c>
      <c r="U381" s="23">
        <v>3.4</v>
      </c>
    </row>
    <row r="382" spans="1:21" x14ac:dyDescent="0.35">
      <c r="A382" s="12" t="s">
        <v>495</v>
      </c>
      <c r="B382" s="12" t="str">
        <f t="shared" si="5"/>
        <v>October</v>
      </c>
      <c r="C382" s="13">
        <v>45208</v>
      </c>
      <c r="D382" s="14" t="s">
        <v>93</v>
      </c>
      <c r="E382" s="14" t="s">
        <v>59</v>
      </c>
      <c r="F382" s="14" t="s">
        <v>124</v>
      </c>
      <c r="G382" s="14" t="s">
        <v>49</v>
      </c>
      <c r="H382" s="14" t="s">
        <v>68</v>
      </c>
      <c r="I382" s="14" t="s">
        <v>67</v>
      </c>
      <c r="J382" s="14" t="s">
        <v>99</v>
      </c>
      <c r="K382" s="12">
        <v>2</v>
      </c>
      <c r="L382" s="15">
        <v>4859</v>
      </c>
      <c r="M382" s="15">
        <v>9718</v>
      </c>
      <c r="N382" s="16">
        <v>30</v>
      </c>
      <c r="O382" s="15">
        <v>2915</v>
      </c>
      <c r="P382" s="15">
        <v>6803</v>
      </c>
      <c r="Q382" s="15">
        <v>4532</v>
      </c>
      <c r="R382" s="15">
        <v>2271</v>
      </c>
      <c r="S382" s="12">
        <v>0</v>
      </c>
      <c r="T382" s="15">
        <v>0</v>
      </c>
      <c r="U382" s="17">
        <v>4.0999999999999996</v>
      </c>
    </row>
    <row r="383" spans="1:21" x14ac:dyDescent="0.35">
      <c r="A383" s="18" t="s">
        <v>496</v>
      </c>
      <c r="B383" s="12" t="str">
        <f t="shared" si="5"/>
        <v>October</v>
      </c>
      <c r="C383" s="19">
        <v>45208</v>
      </c>
      <c r="D383" s="20" t="s">
        <v>115</v>
      </c>
      <c r="E383" s="20" t="s">
        <v>54</v>
      </c>
      <c r="F383" s="20" t="s">
        <v>102</v>
      </c>
      <c r="G383" s="20" t="s">
        <v>57</v>
      </c>
      <c r="H383" s="20" t="s">
        <v>68</v>
      </c>
      <c r="I383" s="20" t="s">
        <v>67</v>
      </c>
      <c r="J383" s="20" t="s">
        <v>99</v>
      </c>
      <c r="K383" s="18">
        <v>4</v>
      </c>
      <c r="L383" s="21">
        <v>3149</v>
      </c>
      <c r="M383" s="21">
        <v>12596</v>
      </c>
      <c r="N383" s="22">
        <v>15</v>
      </c>
      <c r="O383" s="21">
        <v>1889</v>
      </c>
      <c r="P383" s="21">
        <v>10707</v>
      </c>
      <c r="Q383" s="21">
        <v>6035</v>
      </c>
      <c r="R383" s="21">
        <v>4672</v>
      </c>
      <c r="S383" s="18">
        <v>1</v>
      </c>
      <c r="T383" s="21">
        <v>2677</v>
      </c>
      <c r="U383" s="23">
        <v>3.9</v>
      </c>
    </row>
    <row r="384" spans="1:21" x14ac:dyDescent="0.35">
      <c r="A384" s="12" t="s">
        <v>497</v>
      </c>
      <c r="B384" s="12" t="str">
        <f t="shared" si="5"/>
        <v>October</v>
      </c>
      <c r="C384" s="13">
        <v>45208</v>
      </c>
      <c r="D384" s="14" t="s">
        <v>131</v>
      </c>
      <c r="E384" s="14" t="s">
        <v>48</v>
      </c>
      <c r="F384" s="14" t="s">
        <v>98</v>
      </c>
      <c r="G384" s="14" t="s">
        <v>53</v>
      </c>
      <c r="H384" s="14" t="s">
        <v>68</v>
      </c>
      <c r="I384" s="14" t="s">
        <v>67</v>
      </c>
      <c r="J384" s="14" t="s">
        <v>95</v>
      </c>
      <c r="K384" s="12">
        <v>6</v>
      </c>
      <c r="L384" s="15">
        <v>4470</v>
      </c>
      <c r="M384" s="15">
        <v>26820</v>
      </c>
      <c r="N384" s="16">
        <v>15</v>
      </c>
      <c r="O384" s="15">
        <v>4023</v>
      </c>
      <c r="P384" s="15">
        <v>22797</v>
      </c>
      <c r="Q384" s="15">
        <v>15806</v>
      </c>
      <c r="R384" s="15">
        <v>6991</v>
      </c>
      <c r="S384" s="12">
        <v>0</v>
      </c>
      <c r="T384" s="15">
        <v>0</v>
      </c>
      <c r="U384" s="17">
        <v>4.0999999999999996</v>
      </c>
    </row>
    <row r="385" spans="1:21" x14ac:dyDescent="0.35">
      <c r="A385" s="18" t="s">
        <v>498</v>
      </c>
      <c r="B385" s="12" t="str">
        <f t="shared" si="5"/>
        <v>October</v>
      </c>
      <c r="C385" s="19">
        <v>45209</v>
      </c>
      <c r="D385" s="20" t="s">
        <v>142</v>
      </c>
      <c r="E385" s="20" t="s">
        <v>56</v>
      </c>
      <c r="F385" s="20" t="s">
        <v>116</v>
      </c>
      <c r="G385" s="20" t="s">
        <v>57</v>
      </c>
      <c r="H385" s="20" t="s">
        <v>64</v>
      </c>
      <c r="I385" s="20" t="s">
        <v>69</v>
      </c>
      <c r="J385" s="20" t="s">
        <v>95</v>
      </c>
      <c r="K385" s="18">
        <v>15</v>
      </c>
      <c r="L385" s="21">
        <v>3547</v>
      </c>
      <c r="M385" s="21">
        <v>53205</v>
      </c>
      <c r="N385" s="22">
        <v>10</v>
      </c>
      <c r="O385" s="21">
        <v>5320</v>
      </c>
      <c r="P385" s="21">
        <v>47885</v>
      </c>
      <c r="Q385" s="21">
        <v>28080</v>
      </c>
      <c r="R385" s="21">
        <v>19805</v>
      </c>
      <c r="S385" s="18">
        <v>2</v>
      </c>
      <c r="T385" s="21">
        <v>6385</v>
      </c>
      <c r="U385" s="23">
        <v>4</v>
      </c>
    </row>
    <row r="386" spans="1:21" x14ac:dyDescent="0.35">
      <c r="A386" s="12" t="s">
        <v>499</v>
      </c>
      <c r="B386" s="12" t="str">
        <f t="shared" ref="B386:B449" si="6">TEXT(C386,"MMMM")</f>
        <v>October</v>
      </c>
      <c r="C386" s="13">
        <v>45209</v>
      </c>
      <c r="D386" s="14" t="s">
        <v>101</v>
      </c>
      <c r="E386" s="14" t="s">
        <v>59</v>
      </c>
      <c r="F386" s="14" t="s">
        <v>151</v>
      </c>
      <c r="G386" s="14" t="s">
        <v>53</v>
      </c>
      <c r="H386" s="14" t="s">
        <v>64</v>
      </c>
      <c r="I386" s="14" t="s">
        <v>71</v>
      </c>
      <c r="J386" s="14" t="s">
        <v>99</v>
      </c>
      <c r="K386" s="12">
        <v>14</v>
      </c>
      <c r="L386" s="15">
        <v>1359</v>
      </c>
      <c r="M386" s="15">
        <v>19026</v>
      </c>
      <c r="N386" s="16">
        <v>25</v>
      </c>
      <c r="O386" s="15">
        <v>4756</v>
      </c>
      <c r="P386" s="15">
        <v>14270</v>
      </c>
      <c r="Q386" s="15">
        <v>9115</v>
      </c>
      <c r="R386" s="15">
        <v>5155</v>
      </c>
      <c r="S386" s="12">
        <v>1</v>
      </c>
      <c r="T386" s="15">
        <v>1019</v>
      </c>
      <c r="U386" s="17">
        <v>4.4000000000000004</v>
      </c>
    </row>
    <row r="387" spans="1:21" x14ac:dyDescent="0.35">
      <c r="A387" s="18" t="s">
        <v>500</v>
      </c>
      <c r="B387" s="12" t="str">
        <f t="shared" si="6"/>
        <v>October</v>
      </c>
      <c r="C387" s="19">
        <v>45209</v>
      </c>
      <c r="D387" s="20" t="s">
        <v>142</v>
      </c>
      <c r="E387" s="20" t="s">
        <v>52</v>
      </c>
      <c r="F387" s="20" t="s">
        <v>134</v>
      </c>
      <c r="G387" s="20" t="s">
        <v>53</v>
      </c>
      <c r="H387" s="20" t="s">
        <v>68</v>
      </c>
      <c r="I387" s="20" t="s">
        <v>65</v>
      </c>
      <c r="J387" s="20" t="s">
        <v>103</v>
      </c>
      <c r="K387" s="18">
        <v>6</v>
      </c>
      <c r="L387" s="21">
        <v>818</v>
      </c>
      <c r="M387" s="21">
        <v>4908</v>
      </c>
      <c r="N387" s="22">
        <v>50</v>
      </c>
      <c r="O387" s="21">
        <v>2454</v>
      </c>
      <c r="P387" s="21">
        <v>2454</v>
      </c>
      <c r="Q387" s="21">
        <v>1509</v>
      </c>
      <c r="R387" s="21">
        <v>945</v>
      </c>
      <c r="S387" s="18">
        <v>0</v>
      </c>
      <c r="T387" s="21">
        <v>0</v>
      </c>
      <c r="U387" s="23">
        <v>4.5999999999999996</v>
      </c>
    </row>
    <row r="388" spans="1:21" x14ac:dyDescent="0.35">
      <c r="A388" s="12" t="s">
        <v>501</v>
      </c>
      <c r="B388" s="12" t="str">
        <f t="shared" si="6"/>
        <v>October</v>
      </c>
      <c r="C388" s="13">
        <v>45210</v>
      </c>
      <c r="D388" s="14" t="s">
        <v>101</v>
      </c>
      <c r="E388" s="14" t="s">
        <v>52</v>
      </c>
      <c r="F388" s="14" t="s">
        <v>134</v>
      </c>
      <c r="G388" s="14" t="s">
        <v>51</v>
      </c>
      <c r="H388" s="14" t="s">
        <v>64</v>
      </c>
      <c r="I388" s="14" t="s">
        <v>69</v>
      </c>
      <c r="J388" s="14" t="s">
        <v>103</v>
      </c>
      <c r="K388" s="12">
        <v>11</v>
      </c>
      <c r="L388" s="15">
        <v>576</v>
      </c>
      <c r="M388" s="15">
        <v>6336</v>
      </c>
      <c r="N388" s="16">
        <v>5</v>
      </c>
      <c r="O388" s="15">
        <v>317</v>
      </c>
      <c r="P388" s="15">
        <v>6019</v>
      </c>
      <c r="Q388" s="15">
        <v>4071</v>
      </c>
      <c r="R388" s="15">
        <v>1948</v>
      </c>
      <c r="S388" s="12">
        <v>1</v>
      </c>
      <c r="T388" s="15">
        <v>547</v>
      </c>
      <c r="U388" s="17">
        <v>2.7</v>
      </c>
    </row>
    <row r="389" spans="1:21" x14ac:dyDescent="0.35">
      <c r="A389" s="18" t="s">
        <v>502</v>
      </c>
      <c r="B389" s="12" t="str">
        <f t="shared" si="6"/>
        <v>October</v>
      </c>
      <c r="C389" s="19">
        <v>45210</v>
      </c>
      <c r="D389" s="20" t="s">
        <v>101</v>
      </c>
      <c r="E389" s="20" t="s">
        <v>59</v>
      </c>
      <c r="F389" s="20" t="s">
        <v>102</v>
      </c>
      <c r="G389" s="20" t="s">
        <v>49</v>
      </c>
      <c r="H389" s="20" t="s">
        <v>68</v>
      </c>
      <c r="I389" s="20" t="s">
        <v>69</v>
      </c>
      <c r="J389" s="20" t="s">
        <v>95</v>
      </c>
      <c r="K389" s="18">
        <v>5</v>
      </c>
      <c r="L389" s="21">
        <v>2411</v>
      </c>
      <c r="M389" s="21">
        <v>12055</v>
      </c>
      <c r="N389" s="22">
        <v>50</v>
      </c>
      <c r="O389" s="21">
        <v>6028</v>
      </c>
      <c r="P389" s="21">
        <v>6027</v>
      </c>
      <c r="Q389" s="21">
        <v>2934</v>
      </c>
      <c r="R389" s="21">
        <v>3093</v>
      </c>
      <c r="S389" s="18">
        <v>1</v>
      </c>
      <c r="T389" s="21">
        <v>1206</v>
      </c>
      <c r="U389" s="23">
        <v>2.7</v>
      </c>
    </row>
    <row r="390" spans="1:21" x14ac:dyDescent="0.35">
      <c r="A390" s="12" t="s">
        <v>503</v>
      </c>
      <c r="B390" s="12" t="str">
        <f t="shared" si="6"/>
        <v>October</v>
      </c>
      <c r="C390" s="13">
        <v>45210</v>
      </c>
      <c r="D390" s="14" t="s">
        <v>131</v>
      </c>
      <c r="E390" s="14" t="s">
        <v>50</v>
      </c>
      <c r="F390" s="14" t="s">
        <v>134</v>
      </c>
      <c r="G390" s="14" t="s">
        <v>55</v>
      </c>
      <c r="H390" s="14" t="s">
        <v>66</v>
      </c>
      <c r="I390" s="14" t="s">
        <v>70</v>
      </c>
      <c r="J390" s="14" t="s">
        <v>103</v>
      </c>
      <c r="K390" s="12">
        <v>10</v>
      </c>
      <c r="L390" s="15">
        <v>1115</v>
      </c>
      <c r="M390" s="15">
        <v>11150</v>
      </c>
      <c r="N390" s="16">
        <v>10</v>
      </c>
      <c r="O390" s="15">
        <v>1115</v>
      </c>
      <c r="P390" s="15">
        <v>10035</v>
      </c>
      <c r="Q390" s="15">
        <v>4776</v>
      </c>
      <c r="R390" s="15">
        <v>5259</v>
      </c>
      <c r="S390" s="12">
        <v>2</v>
      </c>
      <c r="T390" s="15">
        <v>2007</v>
      </c>
      <c r="U390" s="17">
        <v>4</v>
      </c>
    </row>
    <row r="391" spans="1:21" x14ac:dyDescent="0.35">
      <c r="A391" s="18" t="s">
        <v>504</v>
      </c>
      <c r="B391" s="12" t="str">
        <f t="shared" si="6"/>
        <v>October</v>
      </c>
      <c r="C391" s="19">
        <v>45211</v>
      </c>
      <c r="D391" s="20" t="s">
        <v>115</v>
      </c>
      <c r="E391" s="20" t="s">
        <v>48</v>
      </c>
      <c r="F391" s="20" t="s">
        <v>134</v>
      </c>
      <c r="G391" s="20" t="s">
        <v>51</v>
      </c>
      <c r="H391" s="20" t="s">
        <v>64</v>
      </c>
      <c r="I391" s="20" t="s">
        <v>69</v>
      </c>
      <c r="J391" s="20" t="s">
        <v>99</v>
      </c>
      <c r="K391" s="18">
        <v>6</v>
      </c>
      <c r="L391" s="21">
        <v>1033</v>
      </c>
      <c r="M391" s="21">
        <v>6198</v>
      </c>
      <c r="N391" s="22">
        <v>20</v>
      </c>
      <c r="O391" s="21">
        <v>1240</v>
      </c>
      <c r="P391" s="21">
        <v>4958</v>
      </c>
      <c r="Q391" s="21">
        <v>2686</v>
      </c>
      <c r="R391" s="21">
        <v>2272</v>
      </c>
      <c r="S391" s="18">
        <v>0</v>
      </c>
      <c r="T391" s="21">
        <v>0</v>
      </c>
      <c r="U391" s="23">
        <v>3.1</v>
      </c>
    </row>
    <row r="392" spans="1:21" x14ac:dyDescent="0.35">
      <c r="A392" s="12" t="s">
        <v>505</v>
      </c>
      <c r="B392" s="12" t="str">
        <f t="shared" si="6"/>
        <v>October</v>
      </c>
      <c r="C392" s="13">
        <v>45211</v>
      </c>
      <c r="D392" s="14" t="s">
        <v>97</v>
      </c>
      <c r="E392" s="14" t="s">
        <v>50</v>
      </c>
      <c r="F392" s="14" t="s">
        <v>94</v>
      </c>
      <c r="G392" s="14" t="s">
        <v>55</v>
      </c>
      <c r="H392" s="14" t="s">
        <v>64</v>
      </c>
      <c r="I392" s="14" t="s">
        <v>67</v>
      </c>
      <c r="J392" s="14" t="s">
        <v>103</v>
      </c>
      <c r="K392" s="12">
        <v>3</v>
      </c>
      <c r="L392" s="15">
        <v>930</v>
      </c>
      <c r="M392" s="15">
        <v>2790</v>
      </c>
      <c r="N392" s="16">
        <v>5</v>
      </c>
      <c r="O392" s="15">
        <v>140</v>
      </c>
      <c r="P392" s="15">
        <v>2650</v>
      </c>
      <c r="Q392" s="15">
        <v>1622</v>
      </c>
      <c r="R392" s="15">
        <v>1028</v>
      </c>
      <c r="S392" s="12">
        <v>0</v>
      </c>
      <c r="T392" s="15">
        <v>0</v>
      </c>
      <c r="U392" s="17">
        <v>4.3</v>
      </c>
    </row>
    <row r="393" spans="1:21" x14ac:dyDescent="0.35">
      <c r="A393" s="18" t="s">
        <v>506</v>
      </c>
      <c r="B393" s="12" t="str">
        <f t="shared" si="6"/>
        <v>October</v>
      </c>
      <c r="C393" s="19">
        <v>45212</v>
      </c>
      <c r="D393" s="20" t="s">
        <v>101</v>
      </c>
      <c r="E393" s="20" t="s">
        <v>54</v>
      </c>
      <c r="F393" s="20" t="s">
        <v>98</v>
      </c>
      <c r="G393" s="20" t="s">
        <v>55</v>
      </c>
      <c r="H393" s="20" t="s">
        <v>64</v>
      </c>
      <c r="I393" s="20" t="s">
        <v>67</v>
      </c>
      <c r="J393" s="20" t="s">
        <v>103</v>
      </c>
      <c r="K393" s="18">
        <v>2</v>
      </c>
      <c r="L393" s="21">
        <v>2436</v>
      </c>
      <c r="M393" s="21">
        <v>4872</v>
      </c>
      <c r="N393" s="22">
        <v>20</v>
      </c>
      <c r="O393" s="21">
        <v>974</v>
      </c>
      <c r="P393" s="21">
        <v>3898</v>
      </c>
      <c r="Q393" s="21">
        <v>2324</v>
      </c>
      <c r="R393" s="21">
        <v>1574</v>
      </c>
      <c r="S393" s="18">
        <v>1</v>
      </c>
      <c r="T393" s="21">
        <v>1949</v>
      </c>
      <c r="U393" s="23">
        <v>2.8</v>
      </c>
    </row>
    <row r="394" spans="1:21" x14ac:dyDescent="0.35">
      <c r="A394" s="12" t="s">
        <v>507</v>
      </c>
      <c r="B394" s="12" t="str">
        <f t="shared" si="6"/>
        <v>October</v>
      </c>
      <c r="C394" s="13">
        <v>45212</v>
      </c>
      <c r="D394" s="14" t="s">
        <v>122</v>
      </c>
      <c r="E394" s="14" t="s">
        <v>54</v>
      </c>
      <c r="F394" s="14" t="s">
        <v>106</v>
      </c>
      <c r="G394" s="14" t="s">
        <v>53</v>
      </c>
      <c r="H394" s="14" t="s">
        <v>68</v>
      </c>
      <c r="I394" s="14" t="s">
        <v>70</v>
      </c>
      <c r="J394" s="14" t="s">
        <v>103</v>
      </c>
      <c r="K394" s="12">
        <v>12</v>
      </c>
      <c r="L394" s="15">
        <v>2597</v>
      </c>
      <c r="M394" s="15">
        <v>31164</v>
      </c>
      <c r="N394" s="16">
        <v>40</v>
      </c>
      <c r="O394" s="15">
        <v>12466</v>
      </c>
      <c r="P394" s="15">
        <v>18698</v>
      </c>
      <c r="Q394" s="15">
        <v>10045</v>
      </c>
      <c r="R394" s="15">
        <v>8653</v>
      </c>
      <c r="S394" s="12">
        <v>2</v>
      </c>
      <c r="T394" s="15">
        <v>3116</v>
      </c>
      <c r="U394" s="17">
        <v>3.2</v>
      </c>
    </row>
    <row r="395" spans="1:21" x14ac:dyDescent="0.35">
      <c r="A395" s="18" t="s">
        <v>508</v>
      </c>
      <c r="B395" s="12" t="str">
        <f t="shared" si="6"/>
        <v>October</v>
      </c>
      <c r="C395" s="19">
        <v>45214</v>
      </c>
      <c r="D395" s="20" t="s">
        <v>97</v>
      </c>
      <c r="E395" s="20" t="s">
        <v>54</v>
      </c>
      <c r="F395" s="20" t="s">
        <v>98</v>
      </c>
      <c r="G395" s="20" t="s">
        <v>55</v>
      </c>
      <c r="H395" s="20" t="s">
        <v>68</v>
      </c>
      <c r="I395" s="20" t="s">
        <v>65</v>
      </c>
      <c r="J395" s="20" t="s">
        <v>103</v>
      </c>
      <c r="K395" s="18">
        <v>1</v>
      </c>
      <c r="L395" s="21">
        <v>4850</v>
      </c>
      <c r="M395" s="21">
        <v>4850</v>
      </c>
      <c r="N395" s="22">
        <v>20</v>
      </c>
      <c r="O395" s="21">
        <v>970</v>
      </c>
      <c r="P395" s="21">
        <v>3880</v>
      </c>
      <c r="Q395" s="21">
        <v>2087</v>
      </c>
      <c r="R395" s="21">
        <v>1793</v>
      </c>
      <c r="S395" s="18">
        <v>0</v>
      </c>
      <c r="T395" s="21">
        <v>0</v>
      </c>
      <c r="U395" s="23">
        <v>2.9</v>
      </c>
    </row>
    <row r="396" spans="1:21" x14ac:dyDescent="0.35">
      <c r="A396" s="12" t="s">
        <v>509</v>
      </c>
      <c r="B396" s="12" t="str">
        <f t="shared" si="6"/>
        <v>October</v>
      </c>
      <c r="C396" s="13">
        <v>45215</v>
      </c>
      <c r="D396" s="14" t="s">
        <v>97</v>
      </c>
      <c r="E396" s="14" t="s">
        <v>59</v>
      </c>
      <c r="F396" s="14" t="s">
        <v>98</v>
      </c>
      <c r="G396" s="14" t="s">
        <v>57</v>
      </c>
      <c r="H396" s="14" t="s">
        <v>64</v>
      </c>
      <c r="I396" s="14" t="s">
        <v>71</v>
      </c>
      <c r="J396" s="14" t="s">
        <v>99</v>
      </c>
      <c r="K396" s="12">
        <v>3</v>
      </c>
      <c r="L396" s="15">
        <v>4685</v>
      </c>
      <c r="M396" s="15">
        <v>14055</v>
      </c>
      <c r="N396" s="16">
        <v>5</v>
      </c>
      <c r="O396" s="15">
        <v>703</v>
      </c>
      <c r="P396" s="15">
        <v>13352</v>
      </c>
      <c r="Q396" s="15">
        <v>8943</v>
      </c>
      <c r="R396" s="15">
        <v>4409</v>
      </c>
      <c r="S396" s="12">
        <v>1</v>
      </c>
      <c r="T396" s="15">
        <v>4451</v>
      </c>
      <c r="U396" s="17">
        <v>3.2</v>
      </c>
    </row>
    <row r="397" spans="1:21" x14ac:dyDescent="0.35">
      <c r="A397" s="18" t="s">
        <v>510</v>
      </c>
      <c r="B397" s="12" t="str">
        <f t="shared" si="6"/>
        <v>October</v>
      </c>
      <c r="C397" s="19">
        <v>45215</v>
      </c>
      <c r="D397" s="20" t="s">
        <v>131</v>
      </c>
      <c r="E397" s="20" t="s">
        <v>56</v>
      </c>
      <c r="F397" s="20" t="s">
        <v>151</v>
      </c>
      <c r="G397" s="20" t="s">
        <v>49</v>
      </c>
      <c r="H397" s="20" t="s">
        <v>66</v>
      </c>
      <c r="I397" s="20" t="s">
        <v>65</v>
      </c>
      <c r="J397" s="20" t="s">
        <v>95</v>
      </c>
      <c r="K397" s="18">
        <v>14</v>
      </c>
      <c r="L397" s="21">
        <v>2469</v>
      </c>
      <c r="M397" s="21">
        <v>34566</v>
      </c>
      <c r="N397" s="22">
        <v>0</v>
      </c>
      <c r="O397" s="21">
        <v>0</v>
      </c>
      <c r="P397" s="21">
        <v>34566</v>
      </c>
      <c r="Q397" s="21">
        <v>17803</v>
      </c>
      <c r="R397" s="21">
        <v>16763</v>
      </c>
      <c r="S397" s="18">
        <v>2</v>
      </c>
      <c r="T397" s="21">
        <v>4938</v>
      </c>
      <c r="U397" s="23">
        <v>3</v>
      </c>
    </row>
    <row r="398" spans="1:21" x14ac:dyDescent="0.35">
      <c r="A398" s="12" t="s">
        <v>511</v>
      </c>
      <c r="B398" s="12" t="str">
        <f t="shared" si="6"/>
        <v>October</v>
      </c>
      <c r="C398" s="13">
        <v>45215</v>
      </c>
      <c r="D398" s="14" t="s">
        <v>101</v>
      </c>
      <c r="E398" s="14" t="s">
        <v>59</v>
      </c>
      <c r="F398" s="14" t="s">
        <v>151</v>
      </c>
      <c r="G398" s="14" t="s">
        <v>57</v>
      </c>
      <c r="H398" s="14" t="s">
        <v>66</v>
      </c>
      <c r="I398" s="14" t="s">
        <v>70</v>
      </c>
      <c r="J398" s="14" t="s">
        <v>103</v>
      </c>
      <c r="K398" s="12">
        <v>9</v>
      </c>
      <c r="L398" s="15">
        <v>1003</v>
      </c>
      <c r="M398" s="15">
        <v>9027</v>
      </c>
      <c r="N398" s="16">
        <v>25</v>
      </c>
      <c r="O398" s="15">
        <v>2257</v>
      </c>
      <c r="P398" s="15">
        <v>6770</v>
      </c>
      <c r="Q398" s="15">
        <v>4493</v>
      </c>
      <c r="R398" s="15">
        <v>2277</v>
      </c>
      <c r="S398" s="12">
        <v>1</v>
      </c>
      <c r="T398" s="15">
        <v>752</v>
      </c>
      <c r="U398" s="17">
        <v>2.8</v>
      </c>
    </row>
    <row r="399" spans="1:21" x14ac:dyDescent="0.35">
      <c r="A399" s="18" t="s">
        <v>512</v>
      </c>
      <c r="B399" s="12" t="str">
        <f t="shared" si="6"/>
        <v>October</v>
      </c>
      <c r="C399" s="19">
        <v>45216</v>
      </c>
      <c r="D399" s="20" t="s">
        <v>115</v>
      </c>
      <c r="E399" s="20" t="s">
        <v>58</v>
      </c>
      <c r="F399" s="20" t="s">
        <v>98</v>
      </c>
      <c r="G399" s="20" t="s">
        <v>57</v>
      </c>
      <c r="H399" s="20" t="s">
        <v>64</v>
      </c>
      <c r="I399" s="20" t="s">
        <v>70</v>
      </c>
      <c r="J399" s="20" t="s">
        <v>95</v>
      </c>
      <c r="K399" s="18">
        <v>15</v>
      </c>
      <c r="L399" s="21">
        <v>4379</v>
      </c>
      <c r="M399" s="21">
        <v>65685</v>
      </c>
      <c r="N399" s="22">
        <v>40</v>
      </c>
      <c r="O399" s="21">
        <v>26274</v>
      </c>
      <c r="P399" s="21">
        <v>39411</v>
      </c>
      <c r="Q399" s="21">
        <v>20406</v>
      </c>
      <c r="R399" s="21">
        <v>19005</v>
      </c>
      <c r="S399" s="18">
        <v>0</v>
      </c>
      <c r="T399" s="21">
        <v>0</v>
      </c>
      <c r="U399" s="23">
        <v>4.2</v>
      </c>
    </row>
    <row r="400" spans="1:21" x14ac:dyDescent="0.35">
      <c r="A400" s="12" t="s">
        <v>513</v>
      </c>
      <c r="B400" s="12" t="str">
        <f t="shared" si="6"/>
        <v>October</v>
      </c>
      <c r="C400" s="13">
        <v>45217</v>
      </c>
      <c r="D400" s="14" t="s">
        <v>93</v>
      </c>
      <c r="E400" s="14" t="s">
        <v>59</v>
      </c>
      <c r="F400" s="14" t="s">
        <v>98</v>
      </c>
      <c r="G400" s="14" t="s">
        <v>55</v>
      </c>
      <c r="H400" s="14" t="s">
        <v>64</v>
      </c>
      <c r="I400" s="14" t="s">
        <v>71</v>
      </c>
      <c r="J400" s="14" t="s">
        <v>95</v>
      </c>
      <c r="K400" s="12">
        <v>3</v>
      </c>
      <c r="L400" s="15">
        <v>3400</v>
      </c>
      <c r="M400" s="15">
        <v>10200</v>
      </c>
      <c r="N400" s="16">
        <v>50</v>
      </c>
      <c r="O400" s="15">
        <v>5100</v>
      </c>
      <c r="P400" s="15">
        <v>5100</v>
      </c>
      <c r="Q400" s="15">
        <v>2506</v>
      </c>
      <c r="R400" s="15">
        <v>2594</v>
      </c>
      <c r="S400" s="12">
        <v>1</v>
      </c>
      <c r="T400" s="15">
        <v>1700</v>
      </c>
      <c r="U400" s="17">
        <v>4.9000000000000004</v>
      </c>
    </row>
    <row r="401" spans="1:21" x14ac:dyDescent="0.35">
      <c r="A401" s="18" t="s">
        <v>514</v>
      </c>
      <c r="B401" s="12" t="str">
        <f t="shared" si="6"/>
        <v>October</v>
      </c>
      <c r="C401" s="19">
        <v>45217</v>
      </c>
      <c r="D401" s="20" t="s">
        <v>113</v>
      </c>
      <c r="E401" s="20" t="s">
        <v>58</v>
      </c>
      <c r="F401" s="20" t="s">
        <v>116</v>
      </c>
      <c r="G401" s="20" t="s">
        <v>57</v>
      </c>
      <c r="H401" s="20" t="s">
        <v>68</v>
      </c>
      <c r="I401" s="20" t="s">
        <v>65</v>
      </c>
      <c r="J401" s="20" t="s">
        <v>103</v>
      </c>
      <c r="K401" s="18">
        <v>3</v>
      </c>
      <c r="L401" s="21">
        <v>4014</v>
      </c>
      <c r="M401" s="21">
        <v>12042</v>
      </c>
      <c r="N401" s="22">
        <v>5</v>
      </c>
      <c r="O401" s="21">
        <v>602</v>
      </c>
      <c r="P401" s="21">
        <v>11440</v>
      </c>
      <c r="Q401" s="21">
        <v>6580</v>
      </c>
      <c r="R401" s="21">
        <v>4860</v>
      </c>
      <c r="S401" s="18">
        <v>1</v>
      </c>
      <c r="T401" s="21">
        <v>3813</v>
      </c>
      <c r="U401" s="23">
        <v>2.6</v>
      </c>
    </row>
    <row r="402" spans="1:21" x14ac:dyDescent="0.35">
      <c r="A402" s="12" t="s">
        <v>515</v>
      </c>
      <c r="B402" s="12" t="str">
        <f t="shared" si="6"/>
        <v>October</v>
      </c>
      <c r="C402" s="13">
        <v>45217</v>
      </c>
      <c r="D402" s="14" t="s">
        <v>120</v>
      </c>
      <c r="E402" s="14" t="s">
        <v>48</v>
      </c>
      <c r="F402" s="14" t="s">
        <v>111</v>
      </c>
      <c r="G402" s="14" t="s">
        <v>57</v>
      </c>
      <c r="H402" s="14" t="s">
        <v>64</v>
      </c>
      <c r="I402" s="14" t="s">
        <v>65</v>
      </c>
      <c r="J402" s="14" t="s">
        <v>103</v>
      </c>
      <c r="K402" s="12">
        <v>5</v>
      </c>
      <c r="L402" s="15">
        <v>1124</v>
      </c>
      <c r="M402" s="15">
        <v>5620</v>
      </c>
      <c r="N402" s="16">
        <v>0</v>
      </c>
      <c r="O402" s="15">
        <v>0</v>
      </c>
      <c r="P402" s="15">
        <v>5620</v>
      </c>
      <c r="Q402" s="15">
        <v>2656</v>
      </c>
      <c r="R402" s="15">
        <v>2964</v>
      </c>
      <c r="S402" s="12">
        <v>0</v>
      </c>
      <c r="T402" s="15">
        <v>0</v>
      </c>
      <c r="U402" s="17">
        <v>4</v>
      </c>
    </row>
    <row r="403" spans="1:21" x14ac:dyDescent="0.35">
      <c r="A403" s="18" t="s">
        <v>516</v>
      </c>
      <c r="B403" s="12" t="str">
        <f t="shared" si="6"/>
        <v>October</v>
      </c>
      <c r="C403" s="19">
        <v>45217</v>
      </c>
      <c r="D403" s="20" t="s">
        <v>122</v>
      </c>
      <c r="E403" s="20" t="s">
        <v>52</v>
      </c>
      <c r="F403" s="20" t="s">
        <v>98</v>
      </c>
      <c r="G403" s="20" t="s">
        <v>55</v>
      </c>
      <c r="H403" s="20" t="s">
        <v>64</v>
      </c>
      <c r="I403" s="20" t="s">
        <v>65</v>
      </c>
      <c r="J403" s="20" t="s">
        <v>99</v>
      </c>
      <c r="K403" s="18">
        <v>11</v>
      </c>
      <c r="L403" s="21">
        <v>3328</v>
      </c>
      <c r="M403" s="21">
        <v>36608</v>
      </c>
      <c r="N403" s="22">
        <v>40</v>
      </c>
      <c r="O403" s="21">
        <v>14643</v>
      </c>
      <c r="P403" s="21">
        <v>21965</v>
      </c>
      <c r="Q403" s="21">
        <v>12468</v>
      </c>
      <c r="R403" s="21">
        <v>9497</v>
      </c>
      <c r="S403" s="18">
        <v>0</v>
      </c>
      <c r="T403" s="21">
        <v>0</v>
      </c>
      <c r="U403" s="23">
        <v>2.9</v>
      </c>
    </row>
    <row r="404" spans="1:21" x14ac:dyDescent="0.35">
      <c r="A404" s="12" t="s">
        <v>517</v>
      </c>
      <c r="B404" s="12" t="str">
        <f t="shared" si="6"/>
        <v>October</v>
      </c>
      <c r="C404" s="13">
        <v>45221</v>
      </c>
      <c r="D404" s="14" t="s">
        <v>131</v>
      </c>
      <c r="E404" s="14" t="s">
        <v>58</v>
      </c>
      <c r="F404" s="14" t="s">
        <v>116</v>
      </c>
      <c r="G404" s="14" t="s">
        <v>53</v>
      </c>
      <c r="H404" s="14" t="s">
        <v>64</v>
      </c>
      <c r="I404" s="14" t="s">
        <v>70</v>
      </c>
      <c r="J404" s="14" t="s">
        <v>95</v>
      </c>
      <c r="K404" s="12">
        <v>10</v>
      </c>
      <c r="L404" s="15">
        <v>1794</v>
      </c>
      <c r="M404" s="15">
        <v>17940</v>
      </c>
      <c r="N404" s="16">
        <v>25</v>
      </c>
      <c r="O404" s="15">
        <v>4485</v>
      </c>
      <c r="P404" s="15">
        <v>13455</v>
      </c>
      <c r="Q404" s="15">
        <v>9129</v>
      </c>
      <c r="R404" s="15">
        <v>4326</v>
      </c>
      <c r="S404" s="12">
        <v>0</v>
      </c>
      <c r="T404" s="15">
        <v>0</v>
      </c>
      <c r="U404" s="17">
        <v>4.3</v>
      </c>
    </row>
    <row r="405" spans="1:21" x14ac:dyDescent="0.35">
      <c r="A405" s="18" t="s">
        <v>518</v>
      </c>
      <c r="B405" s="12" t="str">
        <f t="shared" si="6"/>
        <v>October</v>
      </c>
      <c r="C405" s="19">
        <v>45222</v>
      </c>
      <c r="D405" s="20" t="s">
        <v>131</v>
      </c>
      <c r="E405" s="20" t="s">
        <v>56</v>
      </c>
      <c r="F405" s="20" t="s">
        <v>134</v>
      </c>
      <c r="G405" s="20" t="s">
        <v>51</v>
      </c>
      <c r="H405" s="20" t="s">
        <v>66</v>
      </c>
      <c r="I405" s="20" t="s">
        <v>67</v>
      </c>
      <c r="J405" s="20" t="s">
        <v>103</v>
      </c>
      <c r="K405" s="18">
        <v>9</v>
      </c>
      <c r="L405" s="21">
        <v>3534</v>
      </c>
      <c r="M405" s="21">
        <v>31806</v>
      </c>
      <c r="N405" s="22">
        <v>5</v>
      </c>
      <c r="O405" s="21">
        <v>1590</v>
      </c>
      <c r="P405" s="21">
        <v>30216</v>
      </c>
      <c r="Q405" s="21">
        <v>16867</v>
      </c>
      <c r="R405" s="21">
        <v>13349</v>
      </c>
      <c r="S405" s="18">
        <v>2</v>
      </c>
      <c r="T405" s="21">
        <v>6715</v>
      </c>
      <c r="U405" s="23">
        <v>3.1</v>
      </c>
    </row>
    <row r="406" spans="1:21" x14ac:dyDescent="0.35">
      <c r="A406" s="12" t="s">
        <v>519</v>
      </c>
      <c r="B406" s="12" t="str">
        <f t="shared" si="6"/>
        <v>October</v>
      </c>
      <c r="C406" s="13">
        <v>45222</v>
      </c>
      <c r="D406" s="14" t="s">
        <v>93</v>
      </c>
      <c r="E406" s="14" t="s">
        <v>54</v>
      </c>
      <c r="F406" s="14" t="s">
        <v>151</v>
      </c>
      <c r="G406" s="14" t="s">
        <v>49</v>
      </c>
      <c r="H406" s="14" t="s">
        <v>66</v>
      </c>
      <c r="I406" s="14" t="s">
        <v>65</v>
      </c>
      <c r="J406" s="14" t="s">
        <v>103</v>
      </c>
      <c r="K406" s="12">
        <v>6</v>
      </c>
      <c r="L406" s="15">
        <v>831</v>
      </c>
      <c r="M406" s="15">
        <v>4986</v>
      </c>
      <c r="N406" s="16">
        <v>40</v>
      </c>
      <c r="O406" s="15">
        <v>1994</v>
      </c>
      <c r="P406" s="15">
        <v>2992</v>
      </c>
      <c r="Q406" s="15">
        <v>2066</v>
      </c>
      <c r="R406" s="15">
        <v>926</v>
      </c>
      <c r="S406" s="12">
        <v>0</v>
      </c>
      <c r="T406" s="15">
        <v>0</v>
      </c>
      <c r="U406" s="17">
        <v>2.9</v>
      </c>
    </row>
    <row r="407" spans="1:21" x14ac:dyDescent="0.35">
      <c r="A407" s="18" t="s">
        <v>520</v>
      </c>
      <c r="B407" s="12" t="str">
        <f t="shared" si="6"/>
        <v>October</v>
      </c>
      <c r="C407" s="19">
        <v>45223</v>
      </c>
      <c r="D407" s="20" t="s">
        <v>131</v>
      </c>
      <c r="E407" s="20" t="s">
        <v>50</v>
      </c>
      <c r="F407" s="20" t="s">
        <v>134</v>
      </c>
      <c r="G407" s="20" t="s">
        <v>57</v>
      </c>
      <c r="H407" s="20" t="s">
        <v>68</v>
      </c>
      <c r="I407" s="20" t="s">
        <v>67</v>
      </c>
      <c r="J407" s="20" t="s">
        <v>95</v>
      </c>
      <c r="K407" s="18">
        <v>8</v>
      </c>
      <c r="L407" s="21">
        <v>620</v>
      </c>
      <c r="M407" s="21">
        <v>4960</v>
      </c>
      <c r="N407" s="22">
        <v>40</v>
      </c>
      <c r="O407" s="21">
        <v>1984</v>
      </c>
      <c r="P407" s="21">
        <v>2976</v>
      </c>
      <c r="Q407" s="21">
        <v>1809</v>
      </c>
      <c r="R407" s="21">
        <v>1167</v>
      </c>
      <c r="S407" s="18">
        <v>1</v>
      </c>
      <c r="T407" s="21">
        <v>372</v>
      </c>
      <c r="U407" s="23">
        <v>4</v>
      </c>
    </row>
    <row r="408" spans="1:21" x14ac:dyDescent="0.35">
      <c r="A408" s="12" t="s">
        <v>521</v>
      </c>
      <c r="B408" s="12" t="str">
        <f t="shared" si="6"/>
        <v>October</v>
      </c>
      <c r="C408" s="13">
        <v>45224</v>
      </c>
      <c r="D408" s="14" t="s">
        <v>101</v>
      </c>
      <c r="E408" s="14" t="s">
        <v>48</v>
      </c>
      <c r="F408" s="14" t="s">
        <v>116</v>
      </c>
      <c r="G408" s="14" t="s">
        <v>57</v>
      </c>
      <c r="H408" s="14" t="s">
        <v>64</v>
      </c>
      <c r="I408" s="14" t="s">
        <v>69</v>
      </c>
      <c r="J408" s="14" t="s">
        <v>103</v>
      </c>
      <c r="K408" s="12">
        <v>5</v>
      </c>
      <c r="L408" s="15">
        <v>2853</v>
      </c>
      <c r="M408" s="15">
        <v>14265</v>
      </c>
      <c r="N408" s="16">
        <v>50</v>
      </c>
      <c r="O408" s="15">
        <v>7132</v>
      </c>
      <c r="P408" s="15">
        <v>7133</v>
      </c>
      <c r="Q408" s="15">
        <v>4052</v>
      </c>
      <c r="R408" s="15">
        <v>3081</v>
      </c>
      <c r="S408" s="12">
        <v>0</v>
      </c>
      <c r="T408" s="15">
        <v>0</v>
      </c>
      <c r="U408" s="17">
        <v>3.4</v>
      </c>
    </row>
    <row r="409" spans="1:21" x14ac:dyDescent="0.35">
      <c r="A409" s="18" t="s">
        <v>522</v>
      </c>
      <c r="B409" s="12" t="str">
        <f t="shared" si="6"/>
        <v>October</v>
      </c>
      <c r="C409" s="19">
        <v>45225</v>
      </c>
      <c r="D409" s="20" t="s">
        <v>93</v>
      </c>
      <c r="E409" s="20" t="s">
        <v>56</v>
      </c>
      <c r="F409" s="20" t="s">
        <v>134</v>
      </c>
      <c r="G409" s="20" t="s">
        <v>49</v>
      </c>
      <c r="H409" s="20" t="s">
        <v>68</v>
      </c>
      <c r="I409" s="20" t="s">
        <v>67</v>
      </c>
      <c r="J409" s="20" t="s">
        <v>103</v>
      </c>
      <c r="K409" s="18">
        <v>4</v>
      </c>
      <c r="L409" s="21">
        <v>591</v>
      </c>
      <c r="M409" s="21">
        <v>2364</v>
      </c>
      <c r="N409" s="22">
        <v>5</v>
      </c>
      <c r="O409" s="21">
        <v>118</v>
      </c>
      <c r="P409" s="21">
        <v>2246</v>
      </c>
      <c r="Q409" s="21">
        <v>1272</v>
      </c>
      <c r="R409" s="21">
        <v>974</v>
      </c>
      <c r="S409" s="18">
        <v>0</v>
      </c>
      <c r="T409" s="21">
        <v>0</v>
      </c>
      <c r="U409" s="23">
        <v>3.5</v>
      </c>
    </row>
    <row r="410" spans="1:21" x14ac:dyDescent="0.35">
      <c r="A410" s="12" t="s">
        <v>523</v>
      </c>
      <c r="B410" s="12" t="str">
        <f t="shared" si="6"/>
        <v>October</v>
      </c>
      <c r="C410" s="13">
        <v>45225</v>
      </c>
      <c r="D410" s="14" t="s">
        <v>115</v>
      </c>
      <c r="E410" s="14" t="s">
        <v>50</v>
      </c>
      <c r="F410" s="14" t="s">
        <v>98</v>
      </c>
      <c r="G410" s="14" t="s">
        <v>57</v>
      </c>
      <c r="H410" s="14" t="s">
        <v>68</v>
      </c>
      <c r="I410" s="14" t="s">
        <v>69</v>
      </c>
      <c r="J410" s="14" t="s">
        <v>99</v>
      </c>
      <c r="K410" s="12">
        <v>3</v>
      </c>
      <c r="L410" s="15">
        <v>2711</v>
      </c>
      <c r="M410" s="15">
        <v>8133</v>
      </c>
      <c r="N410" s="16">
        <v>40</v>
      </c>
      <c r="O410" s="15">
        <v>3253</v>
      </c>
      <c r="P410" s="15">
        <v>4880</v>
      </c>
      <c r="Q410" s="15">
        <v>2884</v>
      </c>
      <c r="R410" s="15">
        <v>1996</v>
      </c>
      <c r="S410" s="12">
        <v>1</v>
      </c>
      <c r="T410" s="15">
        <v>1627</v>
      </c>
      <c r="U410" s="17">
        <v>4.2</v>
      </c>
    </row>
    <row r="411" spans="1:21" x14ac:dyDescent="0.35">
      <c r="A411" s="18" t="s">
        <v>524</v>
      </c>
      <c r="B411" s="12" t="str">
        <f t="shared" si="6"/>
        <v>October</v>
      </c>
      <c r="C411" s="19">
        <v>45225</v>
      </c>
      <c r="D411" s="20" t="s">
        <v>97</v>
      </c>
      <c r="E411" s="20" t="s">
        <v>48</v>
      </c>
      <c r="F411" s="20" t="s">
        <v>108</v>
      </c>
      <c r="G411" s="20" t="s">
        <v>49</v>
      </c>
      <c r="H411" s="20" t="s">
        <v>64</v>
      </c>
      <c r="I411" s="20" t="s">
        <v>69</v>
      </c>
      <c r="J411" s="20" t="s">
        <v>95</v>
      </c>
      <c r="K411" s="18">
        <v>15</v>
      </c>
      <c r="L411" s="21">
        <v>3335</v>
      </c>
      <c r="M411" s="21">
        <v>50025</v>
      </c>
      <c r="N411" s="22">
        <v>10</v>
      </c>
      <c r="O411" s="21">
        <v>5002</v>
      </c>
      <c r="P411" s="21">
        <v>45023</v>
      </c>
      <c r="Q411" s="21">
        <v>21296</v>
      </c>
      <c r="R411" s="21">
        <v>23727</v>
      </c>
      <c r="S411" s="18">
        <v>2</v>
      </c>
      <c r="T411" s="21">
        <v>6003</v>
      </c>
      <c r="U411" s="23">
        <v>2.8</v>
      </c>
    </row>
    <row r="412" spans="1:21" x14ac:dyDescent="0.35">
      <c r="A412" s="12" t="s">
        <v>525</v>
      </c>
      <c r="B412" s="12" t="str">
        <f t="shared" si="6"/>
        <v>October</v>
      </c>
      <c r="C412" s="13">
        <v>45226</v>
      </c>
      <c r="D412" s="14" t="s">
        <v>122</v>
      </c>
      <c r="E412" s="14" t="s">
        <v>58</v>
      </c>
      <c r="F412" s="14" t="s">
        <v>108</v>
      </c>
      <c r="G412" s="14" t="s">
        <v>49</v>
      </c>
      <c r="H412" s="14" t="s">
        <v>68</v>
      </c>
      <c r="I412" s="14" t="s">
        <v>65</v>
      </c>
      <c r="J412" s="14" t="s">
        <v>103</v>
      </c>
      <c r="K412" s="12">
        <v>15</v>
      </c>
      <c r="L412" s="15">
        <v>1027</v>
      </c>
      <c r="M412" s="15">
        <v>15405</v>
      </c>
      <c r="N412" s="16">
        <v>10</v>
      </c>
      <c r="O412" s="15">
        <v>1540</v>
      </c>
      <c r="P412" s="15">
        <v>13865</v>
      </c>
      <c r="Q412" s="15">
        <v>9458</v>
      </c>
      <c r="R412" s="15">
        <v>4407</v>
      </c>
      <c r="S412" s="12">
        <v>0</v>
      </c>
      <c r="T412" s="15">
        <v>0</v>
      </c>
      <c r="U412" s="17">
        <v>4.4000000000000004</v>
      </c>
    </row>
    <row r="413" spans="1:21" x14ac:dyDescent="0.35">
      <c r="A413" s="18" t="s">
        <v>526</v>
      </c>
      <c r="B413" s="12" t="str">
        <f t="shared" si="6"/>
        <v>October</v>
      </c>
      <c r="C413" s="19">
        <v>45227</v>
      </c>
      <c r="D413" s="20" t="s">
        <v>97</v>
      </c>
      <c r="E413" s="20" t="s">
        <v>59</v>
      </c>
      <c r="F413" s="20" t="s">
        <v>108</v>
      </c>
      <c r="G413" s="20" t="s">
        <v>57</v>
      </c>
      <c r="H413" s="20" t="s">
        <v>64</v>
      </c>
      <c r="I413" s="20" t="s">
        <v>70</v>
      </c>
      <c r="J413" s="20" t="s">
        <v>99</v>
      </c>
      <c r="K413" s="18">
        <v>9</v>
      </c>
      <c r="L413" s="21">
        <v>3361</v>
      </c>
      <c r="M413" s="21">
        <v>30249</v>
      </c>
      <c r="N413" s="22">
        <v>20</v>
      </c>
      <c r="O413" s="21">
        <v>6050</v>
      </c>
      <c r="P413" s="21">
        <v>24199</v>
      </c>
      <c r="Q413" s="21">
        <v>11988</v>
      </c>
      <c r="R413" s="21">
        <v>12211</v>
      </c>
      <c r="S413" s="18">
        <v>2</v>
      </c>
      <c r="T413" s="21">
        <v>5378</v>
      </c>
      <c r="U413" s="23">
        <v>3.6</v>
      </c>
    </row>
    <row r="414" spans="1:21" x14ac:dyDescent="0.35">
      <c r="A414" s="12" t="s">
        <v>527</v>
      </c>
      <c r="B414" s="12" t="str">
        <f t="shared" si="6"/>
        <v>October</v>
      </c>
      <c r="C414" s="13">
        <v>45227</v>
      </c>
      <c r="D414" s="14" t="s">
        <v>122</v>
      </c>
      <c r="E414" s="14" t="s">
        <v>56</v>
      </c>
      <c r="F414" s="14" t="s">
        <v>98</v>
      </c>
      <c r="G414" s="14" t="s">
        <v>53</v>
      </c>
      <c r="H414" s="14" t="s">
        <v>66</v>
      </c>
      <c r="I414" s="14" t="s">
        <v>65</v>
      </c>
      <c r="J414" s="14" t="s">
        <v>103</v>
      </c>
      <c r="K414" s="12">
        <v>14</v>
      </c>
      <c r="L414" s="15">
        <v>1421</v>
      </c>
      <c r="M414" s="15">
        <v>19894</v>
      </c>
      <c r="N414" s="16">
        <v>15</v>
      </c>
      <c r="O414" s="15">
        <v>2984</v>
      </c>
      <c r="P414" s="15">
        <v>16910</v>
      </c>
      <c r="Q414" s="15">
        <v>7974</v>
      </c>
      <c r="R414" s="15">
        <v>8936</v>
      </c>
      <c r="S414" s="12">
        <v>3</v>
      </c>
      <c r="T414" s="15">
        <v>3624</v>
      </c>
      <c r="U414" s="17">
        <v>2.8</v>
      </c>
    </row>
    <row r="415" spans="1:21" x14ac:dyDescent="0.35">
      <c r="A415" s="18" t="s">
        <v>528</v>
      </c>
      <c r="B415" s="12" t="str">
        <f t="shared" si="6"/>
        <v>October</v>
      </c>
      <c r="C415" s="19">
        <v>45228</v>
      </c>
      <c r="D415" s="20" t="s">
        <v>105</v>
      </c>
      <c r="E415" s="20" t="s">
        <v>52</v>
      </c>
      <c r="F415" s="20" t="s">
        <v>102</v>
      </c>
      <c r="G415" s="20" t="s">
        <v>49</v>
      </c>
      <c r="H415" s="20" t="s">
        <v>68</v>
      </c>
      <c r="I415" s="20" t="s">
        <v>71</v>
      </c>
      <c r="J415" s="20" t="s">
        <v>99</v>
      </c>
      <c r="K415" s="18">
        <v>9</v>
      </c>
      <c r="L415" s="21">
        <v>3528</v>
      </c>
      <c r="M415" s="21">
        <v>31752</v>
      </c>
      <c r="N415" s="22">
        <v>40</v>
      </c>
      <c r="O415" s="21">
        <v>12701</v>
      </c>
      <c r="P415" s="21">
        <v>19051</v>
      </c>
      <c r="Q415" s="21">
        <v>11301</v>
      </c>
      <c r="R415" s="21">
        <v>7750</v>
      </c>
      <c r="S415" s="18">
        <v>0</v>
      </c>
      <c r="T415" s="21">
        <v>0</v>
      </c>
      <c r="U415" s="23">
        <v>3.7</v>
      </c>
    </row>
    <row r="416" spans="1:21" x14ac:dyDescent="0.35">
      <c r="A416" s="12" t="s">
        <v>529</v>
      </c>
      <c r="B416" s="12" t="str">
        <f t="shared" si="6"/>
        <v>October</v>
      </c>
      <c r="C416" s="13">
        <v>45228</v>
      </c>
      <c r="D416" s="14" t="s">
        <v>122</v>
      </c>
      <c r="E416" s="14" t="s">
        <v>56</v>
      </c>
      <c r="F416" s="14" t="s">
        <v>108</v>
      </c>
      <c r="G416" s="14" t="s">
        <v>51</v>
      </c>
      <c r="H416" s="14" t="s">
        <v>68</v>
      </c>
      <c r="I416" s="14" t="s">
        <v>71</v>
      </c>
      <c r="J416" s="14" t="s">
        <v>103</v>
      </c>
      <c r="K416" s="12">
        <v>2</v>
      </c>
      <c r="L416" s="15">
        <v>2164</v>
      </c>
      <c r="M416" s="15">
        <v>4328</v>
      </c>
      <c r="N416" s="16">
        <v>50</v>
      </c>
      <c r="O416" s="15">
        <v>2164</v>
      </c>
      <c r="P416" s="15">
        <v>2164</v>
      </c>
      <c r="Q416" s="15">
        <v>980</v>
      </c>
      <c r="R416" s="15">
        <v>1184</v>
      </c>
      <c r="S416" s="12">
        <v>0</v>
      </c>
      <c r="T416" s="15">
        <v>0</v>
      </c>
      <c r="U416" s="17">
        <v>4.5999999999999996</v>
      </c>
    </row>
    <row r="417" spans="1:21" x14ac:dyDescent="0.35">
      <c r="A417" s="18" t="s">
        <v>530</v>
      </c>
      <c r="B417" s="12" t="str">
        <f t="shared" si="6"/>
        <v>November</v>
      </c>
      <c r="C417" s="19">
        <v>45232</v>
      </c>
      <c r="D417" s="20" t="s">
        <v>122</v>
      </c>
      <c r="E417" s="20" t="s">
        <v>50</v>
      </c>
      <c r="F417" s="20" t="s">
        <v>134</v>
      </c>
      <c r="G417" s="20" t="s">
        <v>55</v>
      </c>
      <c r="H417" s="20" t="s">
        <v>66</v>
      </c>
      <c r="I417" s="20" t="s">
        <v>69</v>
      </c>
      <c r="J417" s="20" t="s">
        <v>99</v>
      </c>
      <c r="K417" s="18">
        <v>6</v>
      </c>
      <c r="L417" s="21">
        <v>4273</v>
      </c>
      <c r="M417" s="21">
        <v>25638</v>
      </c>
      <c r="N417" s="22">
        <v>10</v>
      </c>
      <c r="O417" s="21">
        <v>2564</v>
      </c>
      <c r="P417" s="21">
        <v>23074</v>
      </c>
      <c r="Q417" s="21">
        <v>15077</v>
      </c>
      <c r="R417" s="21">
        <v>7997</v>
      </c>
      <c r="S417" s="18">
        <v>1</v>
      </c>
      <c r="T417" s="21">
        <v>3846</v>
      </c>
      <c r="U417" s="23">
        <v>4.8</v>
      </c>
    </row>
    <row r="418" spans="1:21" x14ac:dyDescent="0.35">
      <c r="A418" s="12" t="s">
        <v>531</v>
      </c>
      <c r="B418" s="12" t="str">
        <f t="shared" si="6"/>
        <v>November</v>
      </c>
      <c r="C418" s="13">
        <v>45233</v>
      </c>
      <c r="D418" s="14" t="s">
        <v>142</v>
      </c>
      <c r="E418" s="14" t="s">
        <v>58</v>
      </c>
      <c r="F418" s="14" t="s">
        <v>94</v>
      </c>
      <c r="G418" s="14" t="s">
        <v>55</v>
      </c>
      <c r="H418" s="14" t="s">
        <v>64</v>
      </c>
      <c r="I418" s="14" t="s">
        <v>67</v>
      </c>
      <c r="J418" s="14" t="s">
        <v>99</v>
      </c>
      <c r="K418" s="12">
        <v>7</v>
      </c>
      <c r="L418" s="15">
        <v>3961</v>
      </c>
      <c r="M418" s="15">
        <v>27727</v>
      </c>
      <c r="N418" s="16">
        <v>50</v>
      </c>
      <c r="O418" s="15">
        <v>13864</v>
      </c>
      <c r="P418" s="15">
        <v>13863</v>
      </c>
      <c r="Q418" s="15">
        <v>9376</v>
      </c>
      <c r="R418" s="15">
        <v>4487</v>
      </c>
      <c r="S418" s="12">
        <v>0</v>
      </c>
      <c r="T418" s="15">
        <v>0</v>
      </c>
      <c r="U418" s="17">
        <v>3.9</v>
      </c>
    </row>
    <row r="419" spans="1:21" x14ac:dyDescent="0.35">
      <c r="A419" s="18" t="s">
        <v>532</v>
      </c>
      <c r="B419" s="12" t="str">
        <f t="shared" si="6"/>
        <v>November</v>
      </c>
      <c r="C419" s="19">
        <v>45233</v>
      </c>
      <c r="D419" s="20" t="s">
        <v>93</v>
      </c>
      <c r="E419" s="20" t="s">
        <v>58</v>
      </c>
      <c r="F419" s="20" t="s">
        <v>102</v>
      </c>
      <c r="G419" s="20" t="s">
        <v>51</v>
      </c>
      <c r="H419" s="20" t="s">
        <v>64</v>
      </c>
      <c r="I419" s="20" t="s">
        <v>71</v>
      </c>
      <c r="J419" s="20" t="s">
        <v>95</v>
      </c>
      <c r="K419" s="18">
        <v>8</v>
      </c>
      <c r="L419" s="21">
        <v>1689</v>
      </c>
      <c r="M419" s="21">
        <v>13512</v>
      </c>
      <c r="N419" s="22">
        <v>20</v>
      </c>
      <c r="O419" s="21">
        <v>2702</v>
      </c>
      <c r="P419" s="21">
        <v>10810</v>
      </c>
      <c r="Q419" s="21">
        <v>6328</v>
      </c>
      <c r="R419" s="21">
        <v>4482</v>
      </c>
      <c r="S419" s="18">
        <v>1</v>
      </c>
      <c r="T419" s="21">
        <v>1351</v>
      </c>
      <c r="U419" s="23">
        <v>2.5</v>
      </c>
    </row>
    <row r="420" spans="1:21" x14ac:dyDescent="0.35">
      <c r="A420" s="12" t="s">
        <v>533</v>
      </c>
      <c r="B420" s="12" t="str">
        <f t="shared" si="6"/>
        <v>November</v>
      </c>
      <c r="C420" s="13">
        <v>45234</v>
      </c>
      <c r="D420" s="14" t="s">
        <v>113</v>
      </c>
      <c r="E420" s="14" t="s">
        <v>52</v>
      </c>
      <c r="F420" s="14" t="s">
        <v>134</v>
      </c>
      <c r="G420" s="14" t="s">
        <v>51</v>
      </c>
      <c r="H420" s="14" t="s">
        <v>66</v>
      </c>
      <c r="I420" s="14" t="s">
        <v>71</v>
      </c>
      <c r="J420" s="14" t="s">
        <v>99</v>
      </c>
      <c r="K420" s="12">
        <v>3</v>
      </c>
      <c r="L420" s="15">
        <v>3703</v>
      </c>
      <c r="M420" s="15">
        <v>11109</v>
      </c>
      <c r="N420" s="16">
        <v>25</v>
      </c>
      <c r="O420" s="15">
        <v>2777</v>
      </c>
      <c r="P420" s="15">
        <v>8332</v>
      </c>
      <c r="Q420" s="15">
        <v>5671</v>
      </c>
      <c r="R420" s="15">
        <v>2661</v>
      </c>
      <c r="S420" s="12">
        <v>0</v>
      </c>
      <c r="T420" s="15">
        <v>0</v>
      </c>
      <c r="U420" s="17">
        <v>3.1</v>
      </c>
    </row>
    <row r="421" spans="1:21" x14ac:dyDescent="0.35">
      <c r="A421" s="18" t="s">
        <v>534</v>
      </c>
      <c r="B421" s="12" t="str">
        <f t="shared" si="6"/>
        <v>November</v>
      </c>
      <c r="C421" s="19">
        <v>45234</v>
      </c>
      <c r="D421" s="20" t="s">
        <v>122</v>
      </c>
      <c r="E421" s="20" t="s">
        <v>50</v>
      </c>
      <c r="F421" s="20" t="s">
        <v>94</v>
      </c>
      <c r="G421" s="20" t="s">
        <v>53</v>
      </c>
      <c r="H421" s="20" t="s">
        <v>66</v>
      </c>
      <c r="I421" s="20" t="s">
        <v>67</v>
      </c>
      <c r="J421" s="20" t="s">
        <v>99</v>
      </c>
      <c r="K421" s="18">
        <v>7</v>
      </c>
      <c r="L421" s="21">
        <v>3891</v>
      </c>
      <c r="M421" s="21">
        <v>27237</v>
      </c>
      <c r="N421" s="22">
        <v>30</v>
      </c>
      <c r="O421" s="21">
        <v>8171</v>
      </c>
      <c r="P421" s="21">
        <v>19066</v>
      </c>
      <c r="Q421" s="21">
        <v>12518</v>
      </c>
      <c r="R421" s="21">
        <v>6548</v>
      </c>
      <c r="S421" s="18">
        <v>1</v>
      </c>
      <c r="T421" s="21">
        <v>2724</v>
      </c>
      <c r="U421" s="23">
        <v>4</v>
      </c>
    </row>
    <row r="422" spans="1:21" x14ac:dyDescent="0.35">
      <c r="A422" s="12" t="s">
        <v>535</v>
      </c>
      <c r="B422" s="12" t="str">
        <f t="shared" si="6"/>
        <v>November</v>
      </c>
      <c r="C422" s="13">
        <v>45236</v>
      </c>
      <c r="D422" s="14" t="s">
        <v>120</v>
      </c>
      <c r="E422" s="14" t="s">
        <v>54</v>
      </c>
      <c r="F422" s="14" t="s">
        <v>134</v>
      </c>
      <c r="G422" s="14" t="s">
        <v>49</v>
      </c>
      <c r="H422" s="14" t="s">
        <v>64</v>
      </c>
      <c r="I422" s="14" t="s">
        <v>69</v>
      </c>
      <c r="J422" s="14" t="s">
        <v>95</v>
      </c>
      <c r="K422" s="12">
        <v>11</v>
      </c>
      <c r="L422" s="15">
        <v>3923</v>
      </c>
      <c r="M422" s="15">
        <v>43153</v>
      </c>
      <c r="N422" s="16">
        <v>20</v>
      </c>
      <c r="O422" s="15">
        <v>8631</v>
      </c>
      <c r="P422" s="15">
        <v>34522</v>
      </c>
      <c r="Q422" s="15">
        <v>21154</v>
      </c>
      <c r="R422" s="15">
        <v>13368</v>
      </c>
      <c r="S422" s="12">
        <v>2</v>
      </c>
      <c r="T422" s="15">
        <v>6277</v>
      </c>
      <c r="U422" s="17">
        <v>3.5</v>
      </c>
    </row>
    <row r="423" spans="1:21" x14ac:dyDescent="0.35">
      <c r="A423" s="18" t="s">
        <v>536</v>
      </c>
      <c r="B423" s="12" t="str">
        <f t="shared" si="6"/>
        <v>November</v>
      </c>
      <c r="C423" s="19">
        <v>45236</v>
      </c>
      <c r="D423" s="20" t="s">
        <v>93</v>
      </c>
      <c r="E423" s="20" t="s">
        <v>54</v>
      </c>
      <c r="F423" s="20" t="s">
        <v>124</v>
      </c>
      <c r="G423" s="20" t="s">
        <v>57</v>
      </c>
      <c r="H423" s="20" t="s">
        <v>64</v>
      </c>
      <c r="I423" s="20" t="s">
        <v>70</v>
      </c>
      <c r="J423" s="20" t="s">
        <v>103</v>
      </c>
      <c r="K423" s="18">
        <v>3</v>
      </c>
      <c r="L423" s="21">
        <v>3030</v>
      </c>
      <c r="M423" s="21">
        <v>9090</v>
      </c>
      <c r="N423" s="22">
        <v>15</v>
      </c>
      <c r="O423" s="21">
        <v>1364</v>
      </c>
      <c r="P423" s="21">
        <v>7726</v>
      </c>
      <c r="Q423" s="21">
        <v>5143</v>
      </c>
      <c r="R423" s="21">
        <v>2583</v>
      </c>
      <c r="S423" s="18">
        <v>1</v>
      </c>
      <c r="T423" s="21">
        <v>2576</v>
      </c>
      <c r="U423" s="23">
        <v>4.2</v>
      </c>
    </row>
    <row r="424" spans="1:21" x14ac:dyDescent="0.35">
      <c r="A424" s="12" t="s">
        <v>537</v>
      </c>
      <c r="B424" s="12" t="str">
        <f t="shared" si="6"/>
        <v>November</v>
      </c>
      <c r="C424" s="13">
        <v>45237</v>
      </c>
      <c r="D424" s="14" t="s">
        <v>105</v>
      </c>
      <c r="E424" s="14" t="s">
        <v>48</v>
      </c>
      <c r="F424" s="14" t="s">
        <v>134</v>
      </c>
      <c r="G424" s="14" t="s">
        <v>51</v>
      </c>
      <c r="H424" s="14" t="s">
        <v>66</v>
      </c>
      <c r="I424" s="14" t="s">
        <v>65</v>
      </c>
      <c r="J424" s="14" t="s">
        <v>99</v>
      </c>
      <c r="K424" s="12">
        <v>15</v>
      </c>
      <c r="L424" s="15">
        <v>2380</v>
      </c>
      <c r="M424" s="15">
        <v>35700</v>
      </c>
      <c r="N424" s="16">
        <v>30</v>
      </c>
      <c r="O424" s="15">
        <v>10710</v>
      </c>
      <c r="P424" s="15">
        <v>24990</v>
      </c>
      <c r="Q424" s="15">
        <v>13153</v>
      </c>
      <c r="R424" s="15">
        <v>11837</v>
      </c>
      <c r="S424" s="12">
        <v>0</v>
      </c>
      <c r="T424" s="15">
        <v>0</v>
      </c>
      <c r="U424" s="17">
        <v>4</v>
      </c>
    </row>
    <row r="425" spans="1:21" x14ac:dyDescent="0.35">
      <c r="A425" s="18" t="s">
        <v>538</v>
      </c>
      <c r="B425" s="12" t="str">
        <f t="shared" si="6"/>
        <v>November</v>
      </c>
      <c r="C425" s="19">
        <v>45237</v>
      </c>
      <c r="D425" s="20" t="s">
        <v>113</v>
      </c>
      <c r="E425" s="20" t="s">
        <v>56</v>
      </c>
      <c r="F425" s="20" t="s">
        <v>98</v>
      </c>
      <c r="G425" s="20" t="s">
        <v>49</v>
      </c>
      <c r="H425" s="20" t="s">
        <v>64</v>
      </c>
      <c r="I425" s="20" t="s">
        <v>65</v>
      </c>
      <c r="J425" s="20" t="s">
        <v>95</v>
      </c>
      <c r="K425" s="18">
        <v>8</v>
      </c>
      <c r="L425" s="21">
        <v>4064</v>
      </c>
      <c r="M425" s="21">
        <v>32512</v>
      </c>
      <c r="N425" s="22">
        <v>0</v>
      </c>
      <c r="O425" s="21">
        <v>0</v>
      </c>
      <c r="P425" s="21">
        <v>32512</v>
      </c>
      <c r="Q425" s="21">
        <v>17564</v>
      </c>
      <c r="R425" s="21">
        <v>14948</v>
      </c>
      <c r="S425" s="18">
        <v>2</v>
      </c>
      <c r="T425" s="21">
        <v>8128</v>
      </c>
      <c r="U425" s="23">
        <v>4.8</v>
      </c>
    </row>
    <row r="426" spans="1:21" x14ac:dyDescent="0.35">
      <c r="A426" s="12" t="s">
        <v>539</v>
      </c>
      <c r="B426" s="12" t="str">
        <f t="shared" si="6"/>
        <v>November</v>
      </c>
      <c r="C426" s="13">
        <v>45238</v>
      </c>
      <c r="D426" s="14" t="s">
        <v>120</v>
      </c>
      <c r="E426" s="14" t="s">
        <v>56</v>
      </c>
      <c r="F426" s="14" t="s">
        <v>111</v>
      </c>
      <c r="G426" s="14" t="s">
        <v>57</v>
      </c>
      <c r="H426" s="14" t="s">
        <v>66</v>
      </c>
      <c r="I426" s="14" t="s">
        <v>70</v>
      </c>
      <c r="J426" s="14" t="s">
        <v>95</v>
      </c>
      <c r="K426" s="12">
        <v>8</v>
      </c>
      <c r="L426" s="15">
        <v>2082</v>
      </c>
      <c r="M426" s="15">
        <v>16656</v>
      </c>
      <c r="N426" s="16">
        <v>50</v>
      </c>
      <c r="O426" s="15">
        <v>8328</v>
      </c>
      <c r="P426" s="15">
        <v>8328</v>
      </c>
      <c r="Q426" s="15">
        <v>4205</v>
      </c>
      <c r="R426" s="15">
        <v>4123</v>
      </c>
      <c r="S426" s="12">
        <v>1</v>
      </c>
      <c r="T426" s="15">
        <v>1041</v>
      </c>
      <c r="U426" s="17">
        <v>4.5999999999999996</v>
      </c>
    </row>
    <row r="427" spans="1:21" x14ac:dyDescent="0.35">
      <c r="A427" s="18" t="s">
        <v>540</v>
      </c>
      <c r="B427" s="12" t="str">
        <f t="shared" si="6"/>
        <v>November</v>
      </c>
      <c r="C427" s="19">
        <v>45238</v>
      </c>
      <c r="D427" s="20" t="s">
        <v>115</v>
      </c>
      <c r="E427" s="20" t="s">
        <v>59</v>
      </c>
      <c r="F427" s="20" t="s">
        <v>108</v>
      </c>
      <c r="G427" s="20" t="s">
        <v>51</v>
      </c>
      <c r="H427" s="20" t="s">
        <v>64</v>
      </c>
      <c r="I427" s="20" t="s">
        <v>69</v>
      </c>
      <c r="J427" s="20" t="s">
        <v>103</v>
      </c>
      <c r="K427" s="18">
        <v>3</v>
      </c>
      <c r="L427" s="21">
        <v>3596</v>
      </c>
      <c r="M427" s="21">
        <v>10788</v>
      </c>
      <c r="N427" s="22">
        <v>10</v>
      </c>
      <c r="O427" s="21">
        <v>1079</v>
      </c>
      <c r="P427" s="21">
        <v>9709</v>
      </c>
      <c r="Q427" s="21">
        <v>5574</v>
      </c>
      <c r="R427" s="21">
        <v>4135</v>
      </c>
      <c r="S427" s="18">
        <v>1</v>
      </c>
      <c r="T427" s="21">
        <v>3236</v>
      </c>
      <c r="U427" s="23">
        <v>3.8</v>
      </c>
    </row>
    <row r="428" spans="1:21" x14ac:dyDescent="0.35">
      <c r="A428" s="12" t="s">
        <v>541</v>
      </c>
      <c r="B428" s="12" t="str">
        <f t="shared" si="6"/>
        <v>November</v>
      </c>
      <c r="C428" s="13">
        <v>45238</v>
      </c>
      <c r="D428" s="14" t="s">
        <v>93</v>
      </c>
      <c r="E428" s="14" t="s">
        <v>54</v>
      </c>
      <c r="F428" s="14" t="s">
        <v>108</v>
      </c>
      <c r="G428" s="14" t="s">
        <v>49</v>
      </c>
      <c r="H428" s="14" t="s">
        <v>68</v>
      </c>
      <c r="I428" s="14" t="s">
        <v>69</v>
      </c>
      <c r="J428" s="14" t="s">
        <v>99</v>
      </c>
      <c r="K428" s="12">
        <v>5</v>
      </c>
      <c r="L428" s="15">
        <v>3310</v>
      </c>
      <c r="M428" s="15">
        <v>16550</v>
      </c>
      <c r="N428" s="16">
        <v>20</v>
      </c>
      <c r="O428" s="15">
        <v>3310</v>
      </c>
      <c r="P428" s="15">
        <v>13240</v>
      </c>
      <c r="Q428" s="15">
        <v>6822</v>
      </c>
      <c r="R428" s="15">
        <v>6418</v>
      </c>
      <c r="S428" s="12">
        <v>1</v>
      </c>
      <c r="T428" s="15">
        <v>2648</v>
      </c>
      <c r="U428" s="17">
        <v>3</v>
      </c>
    </row>
    <row r="429" spans="1:21" x14ac:dyDescent="0.35">
      <c r="A429" s="18" t="s">
        <v>542</v>
      </c>
      <c r="B429" s="12" t="str">
        <f t="shared" si="6"/>
        <v>November</v>
      </c>
      <c r="C429" s="19">
        <v>45238</v>
      </c>
      <c r="D429" s="20" t="s">
        <v>97</v>
      </c>
      <c r="E429" s="20" t="s">
        <v>59</v>
      </c>
      <c r="F429" s="20" t="s">
        <v>116</v>
      </c>
      <c r="G429" s="20" t="s">
        <v>55</v>
      </c>
      <c r="H429" s="20" t="s">
        <v>66</v>
      </c>
      <c r="I429" s="20" t="s">
        <v>71</v>
      </c>
      <c r="J429" s="20" t="s">
        <v>99</v>
      </c>
      <c r="K429" s="18">
        <v>12</v>
      </c>
      <c r="L429" s="21">
        <v>4828</v>
      </c>
      <c r="M429" s="21">
        <v>57936</v>
      </c>
      <c r="N429" s="22">
        <v>0</v>
      </c>
      <c r="O429" s="21">
        <v>0</v>
      </c>
      <c r="P429" s="21">
        <v>57936</v>
      </c>
      <c r="Q429" s="21">
        <v>39769</v>
      </c>
      <c r="R429" s="21">
        <v>18167</v>
      </c>
      <c r="S429" s="18">
        <v>1</v>
      </c>
      <c r="T429" s="21">
        <v>4828</v>
      </c>
      <c r="U429" s="23">
        <v>4.0999999999999996</v>
      </c>
    </row>
    <row r="430" spans="1:21" x14ac:dyDescent="0.35">
      <c r="A430" s="12" t="s">
        <v>543</v>
      </c>
      <c r="B430" s="12" t="str">
        <f t="shared" si="6"/>
        <v>November</v>
      </c>
      <c r="C430" s="13">
        <v>45238</v>
      </c>
      <c r="D430" s="14" t="s">
        <v>93</v>
      </c>
      <c r="E430" s="14" t="s">
        <v>56</v>
      </c>
      <c r="F430" s="14" t="s">
        <v>116</v>
      </c>
      <c r="G430" s="14" t="s">
        <v>53</v>
      </c>
      <c r="H430" s="14" t="s">
        <v>68</v>
      </c>
      <c r="I430" s="14" t="s">
        <v>71</v>
      </c>
      <c r="J430" s="14" t="s">
        <v>103</v>
      </c>
      <c r="K430" s="12">
        <v>10</v>
      </c>
      <c r="L430" s="15">
        <v>3090</v>
      </c>
      <c r="M430" s="15">
        <v>30900</v>
      </c>
      <c r="N430" s="16">
        <v>50</v>
      </c>
      <c r="O430" s="15">
        <v>15450</v>
      </c>
      <c r="P430" s="15">
        <v>15450</v>
      </c>
      <c r="Q430" s="15">
        <v>9430</v>
      </c>
      <c r="R430" s="15">
        <v>6020</v>
      </c>
      <c r="S430" s="12">
        <v>2</v>
      </c>
      <c r="T430" s="15">
        <v>3090</v>
      </c>
      <c r="U430" s="17">
        <v>4.5</v>
      </c>
    </row>
    <row r="431" spans="1:21" x14ac:dyDescent="0.35">
      <c r="A431" s="18" t="s">
        <v>544</v>
      </c>
      <c r="B431" s="12" t="str">
        <f t="shared" si="6"/>
        <v>November</v>
      </c>
      <c r="C431" s="19">
        <v>45240</v>
      </c>
      <c r="D431" s="20" t="s">
        <v>115</v>
      </c>
      <c r="E431" s="20" t="s">
        <v>58</v>
      </c>
      <c r="F431" s="20" t="s">
        <v>102</v>
      </c>
      <c r="G431" s="20" t="s">
        <v>55</v>
      </c>
      <c r="H431" s="20" t="s">
        <v>66</v>
      </c>
      <c r="I431" s="20" t="s">
        <v>65</v>
      </c>
      <c r="J431" s="20" t="s">
        <v>95</v>
      </c>
      <c r="K431" s="18">
        <v>12</v>
      </c>
      <c r="L431" s="21">
        <v>4348</v>
      </c>
      <c r="M431" s="21">
        <v>52176</v>
      </c>
      <c r="N431" s="22">
        <v>40</v>
      </c>
      <c r="O431" s="21">
        <v>20870</v>
      </c>
      <c r="P431" s="21">
        <v>31306</v>
      </c>
      <c r="Q431" s="21">
        <v>16116</v>
      </c>
      <c r="R431" s="21">
        <v>15190</v>
      </c>
      <c r="S431" s="18">
        <v>1</v>
      </c>
      <c r="T431" s="21">
        <v>2609</v>
      </c>
      <c r="U431" s="23">
        <v>4.5999999999999996</v>
      </c>
    </row>
    <row r="432" spans="1:21" x14ac:dyDescent="0.35">
      <c r="A432" s="12" t="s">
        <v>545</v>
      </c>
      <c r="B432" s="12" t="str">
        <f t="shared" si="6"/>
        <v>November</v>
      </c>
      <c r="C432" s="13">
        <v>45241</v>
      </c>
      <c r="D432" s="14" t="s">
        <v>101</v>
      </c>
      <c r="E432" s="14" t="s">
        <v>58</v>
      </c>
      <c r="F432" s="14" t="s">
        <v>151</v>
      </c>
      <c r="G432" s="14" t="s">
        <v>51</v>
      </c>
      <c r="H432" s="14" t="s">
        <v>64</v>
      </c>
      <c r="I432" s="14" t="s">
        <v>69</v>
      </c>
      <c r="J432" s="14" t="s">
        <v>95</v>
      </c>
      <c r="K432" s="12">
        <v>10</v>
      </c>
      <c r="L432" s="15">
        <v>457</v>
      </c>
      <c r="M432" s="15">
        <v>4570</v>
      </c>
      <c r="N432" s="16">
        <v>0</v>
      </c>
      <c r="O432" s="15">
        <v>0</v>
      </c>
      <c r="P432" s="15">
        <v>4570</v>
      </c>
      <c r="Q432" s="15">
        <v>2336</v>
      </c>
      <c r="R432" s="15">
        <v>2234</v>
      </c>
      <c r="S432" s="12">
        <v>0</v>
      </c>
      <c r="T432" s="15">
        <v>0</v>
      </c>
      <c r="U432" s="17">
        <v>3.5</v>
      </c>
    </row>
    <row r="433" spans="1:21" x14ac:dyDescent="0.35">
      <c r="A433" s="18" t="s">
        <v>546</v>
      </c>
      <c r="B433" s="12" t="str">
        <f t="shared" si="6"/>
        <v>November</v>
      </c>
      <c r="C433" s="19">
        <v>45241</v>
      </c>
      <c r="D433" s="20" t="s">
        <v>105</v>
      </c>
      <c r="E433" s="20" t="s">
        <v>56</v>
      </c>
      <c r="F433" s="20" t="s">
        <v>151</v>
      </c>
      <c r="G433" s="20" t="s">
        <v>51</v>
      </c>
      <c r="H433" s="20" t="s">
        <v>68</v>
      </c>
      <c r="I433" s="20" t="s">
        <v>69</v>
      </c>
      <c r="J433" s="20" t="s">
        <v>95</v>
      </c>
      <c r="K433" s="18">
        <v>14</v>
      </c>
      <c r="L433" s="21">
        <v>982</v>
      </c>
      <c r="M433" s="21">
        <v>13748</v>
      </c>
      <c r="N433" s="22">
        <v>30</v>
      </c>
      <c r="O433" s="21">
        <v>4124</v>
      </c>
      <c r="P433" s="21">
        <v>9624</v>
      </c>
      <c r="Q433" s="21">
        <v>4543</v>
      </c>
      <c r="R433" s="21">
        <v>5081</v>
      </c>
      <c r="S433" s="18">
        <v>2</v>
      </c>
      <c r="T433" s="21">
        <v>1375</v>
      </c>
      <c r="U433" s="23">
        <v>3.1</v>
      </c>
    </row>
    <row r="434" spans="1:21" x14ac:dyDescent="0.35">
      <c r="A434" s="12" t="s">
        <v>547</v>
      </c>
      <c r="B434" s="12" t="str">
        <f t="shared" si="6"/>
        <v>November</v>
      </c>
      <c r="C434" s="13">
        <v>45242</v>
      </c>
      <c r="D434" s="14" t="s">
        <v>115</v>
      </c>
      <c r="E434" s="14" t="s">
        <v>50</v>
      </c>
      <c r="F434" s="14" t="s">
        <v>106</v>
      </c>
      <c r="G434" s="14" t="s">
        <v>51</v>
      </c>
      <c r="H434" s="14" t="s">
        <v>68</v>
      </c>
      <c r="I434" s="14" t="s">
        <v>71</v>
      </c>
      <c r="J434" s="14" t="s">
        <v>103</v>
      </c>
      <c r="K434" s="12">
        <v>6</v>
      </c>
      <c r="L434" s="15">
        <v>1191</v>
      </c>
      <c r="M434" s="15">
        <v>7146</v>
      </c>
      <c r="N434" s="16">
        <v>10</v>
      </c>
      <c r="O434" s="15">
        <v>715</v>
      </c>
      <c r="P434" s="15">
        <v>6431</v>
      </c>
      <c r="Q434" s="15">
        <v>3695</v>
      </c>
      <c r="R434" s="15">
        <v>2736</v>
      </c>
      <c r="S434" s="12">
        <v>1</v>
      </c>
      <c r="T434" s="15">
        <v>1072</v>
      </c>
      <c r="U434" s="17">
        <v>3.7</v>
      </c>
    </row>
    <row r="435" spans="1:21" x14ac:dyDescent="0.35">
      <c r="A435" s="18" t="s">
        <v>548</v>
      </c>
      <c r="B435" s="12" t="str">
        <f t="shared" si="6"/>
        <v>November</v>
      </c>
      <c r="C435" s="19">
        <v>45245</v>
      </c>
      <c r="D435" s="20" t="s">
        <v>142</v>
      </c>
      <c r="E435" s="20" t="s">
        <v>48</v>
      </c>
      <c r="F435" s="20" t="s">
        <v>102</v>
      </c>
      <c r="G435" s="20" t="s">
        <v>49</v>
      </c>
      <c r="H435" s="20" t="s">
        <v>64</v>
      </c>
      <c r="I435" s="20" t="s">
        <v>71</v>
      </c>
      <c r="J435" s="20" t="s">
        <v>99</v>
      </c>
      <c r="K435" s="18">
        <v>9</v>
      </c>
      <c r="L435" s="21">
        <v>1796</v>
      </c>
      <c r="M435" s="21">
        <v>16164</v>
      </c>
      <c r="N435" s="22">
        <v>10</v>
      </c>
      <c r="O435" s="21">
        <v>1616</v>
      </c>
      <c r="P435" s="21">
        <v>14548</v>
      </c>
      <c r="Q435" s="21">
        <v>9977</v>
      </c>
      <c r="R435" s="21">
        <v>4571</v>
      </c>
      <c r="S435" s="18">
        <v>1</v>
      </c>
      <c r="T435" s="21">
        <v>1616</v>
      </c>
      <c r="U435" s="23">
        <v>3.9</v>
      </c>
    </row>
    <row r="436" spans="1:21" x14ac:dyDescent="0.35">
      <c r="A436" s="12" t="s">
        <v>549</v>
      </c>
      <c r="B436" s="12" t="str">
        <f t="shared" si="6"/>
        <v>November</v>
      </c>
      <c r="C436" s="13">
        <v>45246</v>
      </c>
      <c r="D436" s="14" t="s">
        <v>113</v>
      </c>
      <c r="E436" s="14" t="s">
        <v>54</v>
      </c>
      <c r="F436" s="14" t="s">
        <v>98</v>
      </c>
      <c r="G436" s="14" t="s">
        <v>53</v>
      </c>
      <c r="H436" s="14" t="s">
        <v>66</v>
      </c>
      <c r="I436" s="14" t="s">
        <v>67</v>
      </c>
      <c r="J436" s="14" t="s">
        <v>103</v>
      </c>
      <c r="K436" s="12">
        <v>7</v>
      </c>
      <c r="L436" s="15">
        <v>1832</v>
      </c>
      <c r="M436" s="15">
        <v>12824</v>
      </c>
      <c r="N436" s="16">
        <v>20</v>
      </c>
      <c r="O436" s="15">
        <v>2565</v>
      </c>
      <c r="P436" s="15">
        <v>10259</v>
      </c>
      <c r="Q436" s="15">
        <v>6038</v>
      </c>
      <c r="R436" s="15">
        <v>4221</v>
      </c>
      <c r="S436" s="12">
        <v>0</v>
      </c>
      <c r="T436" s="15">
        <v>0</v>
      </c>
      <c r="U436" s="17">
        <v>3.6</v>
      </c>
    </row>
    <row r="437" spans="1:21" x14ac:dyDescent="0.35">
      <c r="A437" s="18" t="s">
        <v>550</v>
      </c>
      <c r="B437" s="12" t="str">
        <f t="shared" si="6"/>
        <v>November</v>
      </c>
      <c r="C437" s="19">
        <v>45247</v>
      </c>
      <c r="D437" s="20" t="s">
        <v>93</v>
      </c>
      <c r="E437" s="20" t="s">
        <v>52</v>
      </c>
      <c r="F437" s="20" t="s">
        <v>111</v>
      </c>
      <c r="G437" s="20" t="s">
        <v>57</v>
      </c>
      <c r="H437" s="20" t="s">
        <v>64</v>
      </c>
      <c r="I437" s="20" t="s">
        <v>69</v>
      </c>
      <c r="J437" s="20" t="s">
        <v>95</v>
      </c>
      <c r="K437" s="18">
        <v>11</v>
      </c>
      <c r="L437" s="21">
        <v>1976</v>
      </c>
      <c r="M437" s="21">
        <v>21736</v>
      </c>
      <c r="N437" s="22">
        <v>25</v>
      </c>
      <c r="O437" s="21">
        <v>5434</v>
      </c>
      <c r="P437" s="21">
        <v>16302</v>
      </c>
      <c r="Q437" s="21">
        <v>10858</v>
      </c>
      <c r="R437" s="21">
        <v>5444</v>
      </c>
      <c r="S437" s="18">
        <v>1</v>
      </c>
      <c r="T437" s="21">
        <v>1482</v>
      </c>
      <c r="U437" s="23">
        <v>4.9000000000000004</v>
      </c>
    </row>
    <row r="438" spans="1:21" x14ac:dyDescent="0.35">
      <c r="A438" s="12" t="s">
        <v>551</v>
      </c>
      <c r="B438" s="12" t="str">
        <f t="shared" si="6"/>
        <v>November</v>
      </c>
      <c r="C438" s="13">
        <v>45248</v>
      </c>
      <c r="D438" s="14" t="s">
        <v>122</v>
      </c>
      <c r="E438" s="14" t="s">
        <v>59</v>
      </c>
      <c r="F438" s="14" t="s">
        <v>124</v>
      </c>
      <c r="G438" s="14" t="s">
        <v>55</v>
      </c>
      <c r="H438" s="14" t="s">
        <v>66</v>
      </c>
      <c r="I438" s="14" t="s">
        <v>67</v>
      </c>
      <c r="J438" s="14" t="s">
        <v>95</v>
      </c>
      <c r="K438" s="12">
        <v>8</v>
      </c>
      <c r="L438" s="15">
        <v>4338</v>
      </c>
      <c r="M438" s="15">
        <v>34704</v>
      </c>
      <c r="N438" s="16">
        <v>10</v>
      </c>
      <c r="O438" s="15">
        <v>3470</v>
      </c>
      <c r="P438" s="15">
        <v>31234</v>
      </c>
      <c r="Q438" s="15">
        <v>16926</v>
      </c>
      <c r="R438" s="15">
        <v>14308</v>
      </c>
      <c r="S438" s="12">
        <v>1</v>
      </c>
      <c r="T438" s="15">
        <v>3904</v>
      </c>
      <c r="U438" s="17">
        <v>4.4000000000000004</v>
      </c>
    </row>
    <row r="439" spans="1:21" x14ac:dyDescent="0.35">
      <c r="A439" s="18" t="s">
        <v>552</v>
      </c>
      <c r="B439" s="12" t="str">
        <f t="shared" si="6"/>
        <v>November</v>
      </c>
      <c r="C439" s="19">
        <v>45249</v>
      </c>
      <c r="D439" s="20" t="s">
        <v>142</v>
      </c>
      <c r="E439" s="20" t="s">
        <v>56</v>
      </c>
      <c r="F439" s="20" t="s">
        <v>134</v>
      </c>
      <c r="G439" s="20" t="s">
        <v>55</v>
      </c>
      <c r="H439" s="20" t="s">
        <v>64</v>
      </c>
      <c r="I439" s="20" t="s">
        <v>70</v>
      </c>
      <c r="J439" s="20" t="s">
        <v>95</v>
      </c>
      <c r="K439" s="18">
        <v>10</v>
      </c>
      <c r="L439" s="21">
        <v>4756</v>
      </c>
      <c r="M439" s="21">
        <v>47560</v>
      </c>
      <c r="N439" s="22">
        <v>5</v>
      </c>
      <c r="O439" s="21">
        <v>2378</v>
      </c>
      <c r="P439" s="21">
        <v>45182</v>
      </c>
      <c r="Q439" s="21">
        <v>22487</v>
      </c>
      <c r="R439" s="21">
        <v>22695</v>
      </c>
      <c r="S439" s="18">
        <v>1</v>
      </c>
      <c r="T439" s="21">
        <v>4518</v>
      </c>
      <c r="U439" s="23">
        <v>3.3</v>
      </c>
    </row>
    <row r="440" spans="1:21" x14ac:dyDescent="0.35">
      <c r="A440" s="12" t="s">
        <v>553</v>
      </c>
      <c r="B440" s="12" t="str">
        <f t="shared" si="6"/>
        <v>November</v>
      </c>
      <c r="C440" s="13">
        <v>45250</v>
      </c>
      <c r="D440" s="14" t="s">
        <v>105</v>
      </c>
      <c r="E440" s="14" t="s">
        <v>50</v>
      </c>
      <c r="F440" s="14" t="s">
        <v>124</v>
      </c>
      <c r="G440" s="14" t="s">
        <v>51</v>
      </c>
      <c r="H440" s="14" t="s">
        <v>66</v>
      </c>
      <c r="I440" s="14" t="s">
        <v>70</v>
      </c>
      <c r="J440" s="14" t="s">
        <v>103</v>
      </c>
      <c r="K440" s="12">
        <v>5</v>
      </c>
      <c r="L440" s="15">
        <v>4902</v>
      </c>
      <c r="M440" s="15">
        <v>24510</v>
      </c>
      <c r="N440" s="16">
        <v>0</v>
      </c>
      <c r="O440" s="15">
        <v>0</v>
      </c>
      <c r="P440" s="15">
        <v>24510</v>
      </c>
      <c r="Q440" s="15">
        <v>11754</v>
      </c>
      <c r="R440" s="15">
        <v>12756</v>
      </c>
      <c r="S440" s="12">
        <v>1</v>
      </c>
      <c r="T440" s="15">
        <v>4902</v>
      </c>
      <c r="U440" s="17">
        <v>4.0999999999999996</v>
      </c>
    </row>
    <row r="441" spans="1:21" x14ac:dyDescent="0.35">
      <c r="A441" s="18" t="s">
        <v>554</v>
      </c>
      <c r="B441" s="12" t="str">
        <f t="shared" si="6"/>
        <v>November</v>
      </c>
      <c r="C441" s="19">
        <v>45251</v>
      </c>
      <c r="D441" s="20" t="s">
        <v>101</v>
      </c>
      <c r="E441" s="20" t="s">
        <v>56</v>
      </c>
      <c r="F441" s="20" t="s">
        <v>98</v>
      </c>
      <c r="G441" s="20" t="s">
        <v>55</v>
      </c>
      <c r="H441" s="20" t="s">
        <v>64</v>
      </c>
      <c r="I441" s="20" t="s">
        <v>67</v>
      </c>
      <c r="J441" s="20" t="s">
        <v>95</v>
      </c>
      <c r="K441" s="18">
        <v>1</v>
      </c>
      <c r="L441" s="21">
        <v>1824</v>
      </c>
      <c r="M441" s="21">
        <v>1824</v>
      </c>
      <c r="N441" s="22">
        <v>0</v>
      </c>
      <c r="O441" s="21">
        <v>0</v>
      </c>
      <c r="P441" s="21">
        <v>1824</v>
      </c>
      <c r="Q441" s="21">
        <v>955</v>
      </c>
      <c r="R441" s="21">
        <v>869</v>
      </c>
      <c r="S441" s="18">
        <v>1</v>
      </c>
      <c r="T441" s="21">
        <v>1824</v>
      </c>
      <c r="U441" s="23">
        <v>3.6</v>
      </c>
    </row>
    <row r="442" spans="1:21" x14ac:dyDescent="0.35">
      <c r="A442" s="12" t="s">
        <v>555</v>
      </c>
      <c r="B442" s="12" t="str">
        <f t="shared" si="6"/>
        <v>November</v>
      </c>
      <c r="C442" s="13">
        <v>45251</v>
      </c>
      <c r="D442" s="14" t="s">
        <v>142</v>
      </c>
      <c r="E442" s="14" t="s">
        <v>54</v>
      </c>
      <c r="F442" s="14" t="s">
        <v>98</v>
      </c>
      <c r="G442" s="14" t="s">
        <v>57</v>
      </c>
      <c r="H442" s="14" t="s">
        <v>66</v>
      </c>
      <c r="I442" s="14" t="s">
        <v>65</v>
      </c>
      <c r="J442" s="14" t="s">
        <v>103</v>
      </c>
      <c r="K442" s="12">
        <v>13</v>
      </c>
      <c r="L442" s="15">
        <v>4882</v>
      </c>
      <c r="M442" s="15">
        <v>63466</v>
      </c>
      <c r="N442" s="16">
        <v>10</v>
      </c>
      <c r="O442" s="15">
        <v>6347</v>
      </c>
      <c r="P442" s="15">
        <v>57119</v>
      </c>
      <c r="Q442" s="15">
        <v>31111</v>
      </c>
      <c r="R442" s="15">
        <v>26008</v>
      </c>
      <c r="S442" s="12">
        <v>3</v>
      </c>
      <c r="T442" s="15">
        <v>13181</v>
      </c>
      <c r="U442" s="17">
        <v>2.6</v>
      </c>
    </row>
    <row r="443" spans="1:21" x14ac:dyDescent="0.35">
      <c r="A443" s="18" t="s">
        <v>556</v>
      </c>
      <c r="B443" s="12" t="str">
        <f t="shared" si="6"/>
        <v>November</v>
      </c>
      <c r="C443" s="19">
        <v>45253</v>
      </c>
      <c r="D443" s="20" t="s">
        <v>122</v>
      </c>
      <c r="E443" s="20" t="s">
        <v>54</v>
      </c>
      <c r="F443" s="20" t="s">
        <v>124</v>
      </c>
      <c r="G443" s="20" t="s">
        <v>53</v>
      </c>
      <c r="H443" s="20" t="s">
        <v>66</v>
      </c>
      <c r="I443" s="20" t="s">
        <v>69</v>
      </c>
      <c r="J443" s="20" t="s">
        <v>99</v>
      </c>
      <c r="K443" s="18">
        <v>15</v>
      </c>
      <c r="L443" s="21">
        <v>1651</v>
      </c>
      <c r="M443" s="21">
        <v>24765</v>
      </c>
      <c r="N443" s="22">
        <v>50</v>
      </c>
      <c r="O443" s="21">
        <v>12382</v>
      </c>
      <c r="P443" s="21">
        <v>12383</v>
      </c>
      <c r="Q443" s="21">
        <v>6061</v>
      </c>
      <c r="R443" s="21">
        <v>6322</v>
      </c>
      <c r="S443" s="18">
        <v>3</v>
      </c>
      <c r="T443" s="21">
        <v>2476</v>
      </c>
      <c r="U443" s="23">
        <v>4.9000000000000004</v>
      </c>
    </row>
    <row r="444" spans="1:21" x14ac:dyDescent="0.35">
      <c r="A444" s="12" t="s">
        <v>557</v>
      </c>
      <c r="B444" s="12" t="str">
        <f t="shared" si="6"/>
        <v>November</v>
      </c>
      <c r="C444" s="13">
        <v>45253</v>
      </c>
      <c r="D444" s="14" t="s">
        <v>93</v>
      </c>
      <c r="E444" s="14" t="s">
        <v>48</v>
      </c>
      <c r="F444" s="14" t="s">
        <v>94</v>
      </c>
      <c r="G444" s="14" t="s">
        <v>55</v>
      </c>
      <c r="H444" s="14" t="s">
        <v>66</v>
      </c>
      <c r="I444" s="14" t="s">
        <v>65</v>
      </c>
      <c r="J444" s="14" t="s">
        <v>95</v>
      </c>
      <c r="K444" s="12">
        <v>3</v>
      </c>
      <c r="L444" s="15">
        <v>4024</v>
      </c>
      <c r="M444" s="15">
        <v>12072</v>
      </c>
      <c r="N444" s="16">
        <v>50</v>
      </c>
      <c r="O444" s="15">
        <v>6036</v>
      </c>
      <c r="P444" s="15">
        <v>6036</v>
      </c>
      <c r="Q444" s="15">
        <v>3322</v>
      </c>
      <c r="R444" s="15">
        <v>2714</v>
      </c>
      <c r="S444" s="12">
        <v>1</v>
      </c>
      <c r="T444" s="15">
        <v>2012</v>
      </c>
      <c r="U444" s="17">
        <v>4.0999999999999996</v>
      </c>
    </row>
    <row r="445" spans="1:21" x14ac:dyDescent="0.35">
      <c r="A445" s="18" t="s">
        <v>558</v>
      </c>
      <c r="B445" s="12" t="str">
        <f t="shared" si="6"/>
        <v>November</v>
      </c>
      <c r="C445" s="19">
        <v>45254</v>
      </c>
      <c r="D445" s="20" t="s">
        <v>105</v>
      </c>
      <c r="E445" s="20" t="s">
        <v>59</v>
      </c>
      <c r="F445" s="20" t="s">
        <v>151</v>
      </c>
      <c r="G445" s="20" t="s">
        <v>53</v>
      </c>
      <c r="H445" s="20" t="s">
        <v>64</v>
      </c>
      <c r="I445" s="20" t="s">
        <v>70</v>
      </c>
      <c r="J445" s="20" t="s">
        <v>95</v>
      </c>
      <c r="K445" s="18">
        <v>12</v>
      </c>
      <c r="L445" s="21">
        <v>781</v>
      </c>
      <c r="M445" s="21">
        <v>9372</v>
      </c>
      <c r="N445" s="22">
        <v>50</v>
      </c>
      <c r="O445" s="21">
        <v>4686</v>
      </c>
      <c r="P445" s="21">
        <v>4686</v>
      </c>
      <c r="Q445" s="21">
        <v>2211</v>
      </c>
      <c r="R445" s="21">
        <v>2475</v>
      </c>
      <c r="S445" s="18">
        <v>3</v>
      </c>
      <c r="T445" s="21">
        <v>1172</v>
      </c>
      <c r="U445" s="23">
        <v>2.6</v>
      </c>
    </row>
    <row r="446" spans="1:21" x14ac:dyDescent="0.35">
      <c r="A446" s="12" t="s">
        <v>559</v>
      </c>
      <c r="B446" s="12" t="str">
        <f t="shared" si="6"/>
        <v>November</v>
      </c>
      <c r="C446" s="13">
        <v>45254</v>
      </c>
      <c r="D446" s="14" t="s">
        <v>113</v>
      </c>
      <c r="E446" s="14" t="s">
        <v>58</v>
      </c>
      <c r="F446" s="14" t="s">
        <v>134</v>
      </c>
      <c r="G446" s="14" t="s">
        <v>55</v>
      </c>
      <c r="H446" s="14" t="s">
        <v>64</v>
      </c>
      <c r="I446" s="14" t="s">
        <v>69</v>
      </c>
      <c r="J446" s="14" t="s">
        <v>99</v>
      </c>
      <c r="K446" s="12">
        <v>10</v>
      </c>
      <c r="L446" s="15">
        <v>2818</v>
      </c>
      <c r="M446" s="15">
        <v>28180</v>
      </c>
      <c r="N446" s="16">
        <v>50</v>
      </c>
      <c r="O446" s="15">
        <v>14090</v>
      </c>
      <c r="P446" s="15">
        <v>14090</v>
      </c>
      <c r="Q446" s="15">
        <v>8366</v>
      </c>
      <c r="R446" s="15">
        <v>5724</v>
      </c>
      <c r="S446" s="12">
        <v>2</v>
      </c>
      <c r="T446" s="15">
        <v>2818</v>
      </c>
      <c r="U446" s="17">
        <v>2.9</v>
      </c>
    </row>
    <row r="447" spans="1:21" x14ac:dyDescent="0.35">
      <c r="A447" s="18" t="s">
        <v>560</v>
      </c>
      <c r="B447" s="12" t="str">
        <f t="shared" si="6"/>
        <v>November</v>
      </c>
      <c r="C447" s="19">
        <v>45254</v>
      </c>
      <c r="D447" s="20" t="s">
        <v>113</v>
      </c>
      <c r="E447" s="20" t="s">
        <v>48</v>
      </c>
      <c r="F447" s="20" t="s">
        <v>102</v>
      </c>
      <c r="G447" s="20" t="s">
        <v>57</v>
      </c>
      <c r="H447" s="20" t="s">
        <v>64</v>
      </c>
      <c r="I447" s="20" t="s">
        <v>67</v>
      </c>
      <c r="J447" s="20" t="s">
        <v>95</v>
      </c>
      <c r="K447" s="18">
        <v>5</v>
      </c>
      <c r="L447" s="21">
        <v>670</v>
      </c>
      <c r="M447" s="21">
        <v>3350</v>
      </c>
      <c r="N447" s="22">
        <v>15</v>
      </c>
      <c r="O447" s="21">
        <v>502</v>
      </c>
      <c r="P447" s="21">
        <v>2848</v>
      </c>
      <c r="Q447" s="21">
        <v>1975</v>
      </c>
      <c r="R447" s="21">
        <v>873</v>
      </c>
      <c r="S447" s="18">
        <v>0</v>
      </c>
      <c r="T447" s="21">
        <v>0</v>
      </c>
      <c r="U447" s="23">
        <v>3.8</v>
      </c>
    </row>
    <row r="448" spans="1:21" x14ac:dyDescent="0.35">
      <c r="A448" s="12" t="s">
        <v>561</v>
      </c>
      <c r="B448" s="12" t="str">
        <f t="shared" si="6"/>
        <v>November</v>
      </c>
      <c r="C448" s="13">
        <v>45255</v>
      </c>
      <c r="D448" s="14" t="s">
        <v>142</v>
      </c>
      <c r="E448" s="14" t="s">
        <v>59</v>
      </c>
      <c r="F448" s="14" t="s">
        <v>124</v>
      </c>
      <c r="G448" s="14" t="s">
        <v>55</v>
      </c>
      <c r="H448" s="14" t="s">
        <v>66</v>
      </c>
      <c r="I448" s="14" t="s">
        <v>71</v>
      </c>
      <c r="J448" s="14" t="s">
        <v>99</v>
      </c>
      <c r="K448" s="12">
        <v>3</v>
      </c>
      <c r="L448" s="15">
        <v>4425</v>
      </c>
      <c r="M448" s="15">
        <v>13275</v>
      </c>
      <c r="N448" s="16">
        <v>50</v>
      </c>
      <c r="O448" s="15">
        <v>6638</v>
      </c>
      <c r="P448" s="15">
        <v>6637</v>
      </c>
      <c r="Q448" s="15">
        <v>4048</v>
      </c>
      <c r="R448" s="15">
        <v>2589</v>
      </c>
      <c r="S448" s="12">
        <v>0</v>
      </c>
      <c r="T448" s="15">
        <v>0</v>
      </c>
      <c r="U448" s="17">
        <v>4.4000000000000004</v>
      </c>
    </row>
    <row r="449" spans="1:21" x14ac:dyDescent="0.35">
      <c r="A449" s="18" t="s">
        <v>562</v>
      </c>
      <c r="B449" s="12" t="str">
        <f t="shared" si="6"/>
        <v>November</v>
      </c>
      <c r="C449" s="19">
        <v>45255</v>
      </c>
      <c r="D449" s="20" t="s">
        <v>93</v>
      </c>
      <c r="E449" s="20" t="s">
        <v>59</v>
      </c>
      <c r="F449" s="20" t="s">
        <v>102</v>
      </c>
      <c r="G449" s="20" t="s">
        <v>49</v>
      </c>
      <c r="H449" s="20" t="s">
        <v>64</v>
      </c>
      <c r="I449" s="20" t="s">
        <v>69</v>
      </c>
      <c r="J449" s="20" t="s">
        <v>95</v>
      </c>
      <c r="K449" s="18">
        <v>7</v>
      </c>
      <c r="L449" s="21">
        <v>945</v>
      </c>
      <c r="M449" s="21">
        <v>6615</v>
      </c>
      <c r="N449" s="22">
        <v>15</v>
      </c>
      <c r="O449" s="21">
        <v>992</v>
      </c>
      <c r="P449" s="21">
        <v>5623</v>
      </c>
      <c r="Q449" s="21">
        <v>2626</v>
      </c>
      <c r="R449" s="21">
        <v>2997</v>
      </c>
      <c r="S449" s="18">
        <v>0</v>
      </c>
      <c r="T449" s="21">
        <v>0</v>
      </c>
      <c r="U449" s="23">
        <v>2.5</v>
      </c>
    </row>
    <row r="450" spans="1:21" x14ac:dyDescent="0.35">
      <c r="A450" s="12" t="s">
        <v>563</v>
      </c>
      <c r="B450" s="12" t="str">
        <f t="shared" ref="B450:B501" si="7">TEXT(C450,"MMMM")</f>
        <v>November</v>
      </c>
      <c r="C450" s="13">
        <v>45258</v>
      </c>
      <c r="D450" s="14" t="s">
        <v>97</v>
      </c>
      <c r="E450" s="14" t="s">
        <v>52</v>
      </c>
      <c r="F450" s="14" t="s">
        <v>134</v>
      </c>
      <c r="G450" s="14" t="s">
        <v>49</v>
      </c>
      <c r="H450" s="14" t="s">
        <v>64</v>
      </c>
      <c r="I450" s="14" t="s">
        <v>67</v>
      </c>
      <c r="J450" s="14" t="s">
        <v>103</v>
      </c>
      <c r="K450" s="12">
        <v>13</v>
      </c>
      <c r="L450" s="15">
        <v>4731</v>
      </c>
      <c r="M450" s="15">
        <v>61503</v>
      </c>
      <c r="N450" s="16">
        <v>20</v>
      </c>
      <c r="O450" s="15">
        <v>12301</v>
      </c>
      <c r="P450" s="15">
        <v>49202</v>
      </c>
      <c r="Q450" s="15">
        <v>27354</v>
      </c>
      <c r="R450" s="15">
        <v>21848</v>
      </c>
      <c r="S450" s="12">
        <v>3</v>
      </c>
      <c r="T450" s="15">
        <v>11354</v>
      </c>
      <c r="U450" s="17">
        <v>4.5999999999999996</v>
      </c>
    </row>
    <row r="451" spans="1:21" x14ac:dyDescent="0.35">
      <c r="A451" s="18" t="s">
        <v>564</v>
      </c>
      <c r="B451" s="12" t="str">
        <f t="shared" si="7"/>
        <v>November</v>
      </c>
      <c r="C451" s="19">
        <v>45259</v>
      </c>
      <c r="D451" s="20" t="s">
        <v>120</v>
      </c>
      <c r="E451" s="20" t="s">
        <v>54</v>
      </c>
      <c r="F451" s="20" t="s">
        <v>111</v>
      </c>
      <c r="G451" s="20" t="s">
        <v>51</v>
      </c>
      <c r="H451" s="20" t="s">
        <v>64</v>
      </c>
      <c r="I451" s="20" t="s">
        <v>67</v>
      </c>
      <c r="J451" s="20" t="s">
        <v>99</v>
      </c>
      <c r="K451" s="18">
        <v>12</v>
      </c>
      <c r="L451" s="21">
        <v>4205</v>
      </c>
      <c r="M451" s="21">
        <v>50460</v>
      </c>
      <c r="N451" s="22">
        <v>40</v>
      </c>
      <c r="O451" s="21">
        <v>20184</v>
      </c>
      <c r="P451" s="21">
        <v>30276</v>
      </c>
      <c r="Q451" s="21">
        <v>17020</v>
      </c>
      <c r="R451" s="21">
        <v>13256</v>
      </c>
      <c r="S451" s="18">
        <v>0</v>
      </c>
      <c r="T451" s="21">
        <v>0</v>
      </c>
      <c r="U451" s="23">
        <v>4.8</v>
      </c>
    </row>
    <row r="452" spans="1:21" x14ac:dyDescent="0.35">
      <c r="A452" s="12" t="s">
        <v>565</v>
      </c>
      <c r="B452" s="12" t="str">
        <f t="shared" si="7"/>
        <v>November</v>
      </c>
      <c r="C452" s="13">
        <v>45260</v>
      </c>
      <c r="D452" s="14" t="s">
        <v>115</v>
      </c>
      <c r="E452" s="14" t="s">
        <v>59</v>
      </c>
      <c r="F452" s="14" t="s">
        <v>151</v>
      </c>
      <c r="G452" s="14" t="s">
        <v>51</v>
      </c>
      <c r="H452" s="14" t="s">
        <v>64</v>
      </c>
      <c r="I452" s="14" t="s">
        <v>69</v>
      </c>
      <c r="J452" s="14" t="s">
        <v>103</v>
      </c>
      <c r="K452" s="12">
        <v>3</v>
      </c>
      <c r="L452" s="15">
        <v>1420</v>
      </c>
      <c r="M452" s="15">
        <v>4260</v>
      </c>
      <c r="N452" s="16">
        <v>40</v>
      </c>
      <c r="O452" s="15">
        <v>1704</v>
      </c>
      <c r="P452" s="15">
        <v>2556</v>
      </c>
      <c r="Q452" s="15">
        <v>1578</v>
      </c>
      <c r="R452" s="15">
        <v>978</v>
      </c>
      <c r="S452" s="12">
        <v>0</v>
      </c>
      <c r="T452" s="15">
        <v>0</v>
      </c>
      <c r="U452" s="17">
        <v>3.7</v>
      </c>
    </row>
    <row r="453" spans="1:21" x14ac:dyDescent="0.35">
      <c r="A453" s="18" t="s">
        <v>566</v>
      </c>
      <c r="B453" s="12" t="str">
        <f t="shared" si="7"/>
        <v>November</v>
      </c>
      <c r="C453" s="19">
        <v>45260</v>
      </c>
      <c r="D453" s="20" t="s">
        <v>105</v>
      </c>
      <c r="E453" s="20" t="s">
        <v>54</v>
      </c>
      <c r="F453" s="20" t="s">
        <v>134</v>
      </c>
      <c r="G453" s="20" t="s">
        <v>57</v>
      </c>
      <c r="H453" s="20" t="s">
        <v>68</v>
      </c>
      <c r="I453" s="20" t="s">
        <v>65</v>
      </c>
      <c r="J453" s="20" t="s">
        <v>99</v>
      </c>
      <c r="K453" s="18">
        <v>14</v>
      </c>
      <c r="L453" s="21">
        <v>3735</v>
      </c>
      <c r="M453" s="21">
        <v>52290</v>
      </c>
      <c r="N453" s="22">
        <v>20</v>
      </c>
      <c r="O453" s="21">
        <v>10458</v>
      </c>
      <c r="P453" s="21">
        <v>41832</v>
      </c>
      <c r="Q453" s="21">
        <v>22195</v>
      </c>
      <c r="R453" s="21">
        <v>19637</v>
      </c>
      <c r="S453" s="18">
        <v>1</v>
      </c>
      <c r="T453" s="21">
        <v>2988</v>
      </c>
      <c r="U453" s="23">
        <v>4.5999999999999996</v>
      </c>
    </row>
    <row r="454" spans="1:21" x14ac:dyDescent="0.35">
      <c r="A454" s="12" t="s">
        <v>567</v>
      </c>
      <c r="B454" s="12" t="str">
        <f t="shared" si="7"/>
        <v>December</v>
      </c>
      <c r="C454" s="13">
        <v>45261</v>
      </c>
      <c r="D454" s="14" t="s">
        <v>142</v>
      </c>
      <c r="E454" s="14" t="s">
        <v>54</v>
      </c>
      <c r="F454" s="14" t="s">
        <v>108</v>
      </c>
      <c r="G454" s="14" t="s">
        <v>57</v>
      </c>
      <c r="H454" s="14" t="s">
        <v>66</v>
      </c>
      <c r="I454" s="14" t="s">
        <v>65</v>
      </c>
      <c r="J454" s="14" t="s">
        <v>99</v>
      </c>
      <c r="K454" s="12">
        <v>15</v>
      </c>
      <c r="L454" s="15">
        <v>2390</v>
      </c>
      <c r="M454" s="15">
        <v>35850</v>
      </c>
      <c r="N454" s="16">
        <v>25</v>
      </c>
      <c r="O454" s="15">
        <v>8962</v>
      </c>
      <c r="P454" s="15">
        <v>26888</v>
      </c>
      <c r="Q454" s="15">
        <v>17127</v>
      </c>
      <c r="R454" s="15">
        <v>9761</v>
      </c>
      <c r="S454" s="12">
        <v>3</v>
      </c>
      <c r="T454" s="15">
        <v>5378</v>
      </c>
      <c r="U454" s="17">
        <v>3.5</v>
      </c>
    </row>
    <row r="455" spans="1:21" x14ac:dyDescent="0.35">
      <c r="A455" s="18" t="s">
        <v>568</v>
      </c>
      <c r="B455" s="12" t="str">
        <f t="shared" si="7"/>
        <v>December</v>
      </c>
      <c r="C455" s="19">
        <v>45261</v>
      </c>
      <c r="D455" s="20" t="s">
        <v>101</v>
      </c>
      <c r="E455" s="20" t="s">
        <v>58</v>
      </c>
      <c r="F455" s="20" t="s">
        <v>134</v>
      </c>
      <c r="G455" s="20" t="s">
        <v>49</v>
      </c>
      <c r="H455" s="20" t="s">
        <v>66</v>
      </c>
      <c r="I455" s="20" t="s">
        <v>65</v>
      </c>
      <c r="J455" s="20" t="s">
        <v>95</v>
      </c>
      <c r="K455" s="18">
        <v>5</v>
      </c>
      <c r="L455" s="21">
        <v>2764</v>
      </c>
      <c r="M455" s="21">
        <v>13820</v>
      </c>
      <c r="N455" s="22">
        <v>25</v>
      </c>
      <c r="O455" s="21">
        <v>3455</v>
      </c>
      <c r="P455" s="21">
        <v>10365</v>
      </c>
      <c r="Q455" s="21">
        <v>6063</v>
      </c>
      <c r="R455" s="21">
        <v>4302</v>
      </c>
      <c r="S455" s="18">
        <v>0</v>
      </c>
      <c r="T455" s="21">
        <v>0</v>
      </c>
      <c r="U455" s="23">
        <v>3.3</v>
      </c>
    </row>
    <row r="456" spans="1:21" x14ac:dyDescent="0.35">
      <c r="A456" s="12" t="s">
        <v>569</v>
      </c>
      <c r="B456" s="12" t="str">
        <f t="shared" si="7"/>
        <v>December</v>
      </c>
      <c r="C456" s="13">
        <v>45261</v>
      </c>
      <c r="D456" s="14" t="s">
        <v>120</v>
      </c>
      <c r="E456" s="14" t="s">
        <v>56</v>
      </c>
      <c r="F456" s="14" t="s">
        <v>102</v>
      </c>
      <c r="G456" s="14" t="s">
        <v>55</v>
      </c>
      <c r="H456" s="14" t="s">
        <v>66</v>
      </c>
      <c r="I456" s="14" t="s">
        <v>71</v>
      </c>
      <c r="J456" s="14" t="s">
        <v>95</v>
      </c>
      <c r="K456" s="12">
        <v>12</v>
      </c>
      <c r="L456" s="15">
        <v>3022</v>
      </c>
      <c r="M456" s="15">
        <v>36264</v>
      </c>
      <c r="N456" s="16">
        <v>5</v>
      </c>
      <c r="O456" s="15">
        <v>1813</v>
      </c>
      <c r="P456" s="15">
        <v>34451</v>
      </c>
      <c r="Q456" s="15">
        <v>15821</v>
      </c>
      <c r="R456" s="15">
        <v>18630</v>
      </c>
      <c r="S456" s="12">
        <v>1</v>
      </c>
      <c r="T456" s="15">
        <v>2871</v>
      </c>
      <c r="U456" s="17">
        <v>3.7</v>
      </c>
    </row>
    <row r="457" spans="1:21" x14ac:dyDescent="0.35">
      <c r="A457" s="18" t="s">
        <v>570</v>
      </c>
      <c r="B457" s="12" t="str">
        <f t="shared" si="7"/>
        <v>December</v>
      </c>
      <c r="C457" s="19">
        <v>45262</v>
      </c>
      <c r="D457" s="20" t="s">
        <v>122</v>
      </c>
      <c r="E457" s="20" t="s">
        <v>54</v>
      </c>
      <c r="F457" s="20" t="s">
        <v>124</v>
      </c>
      <c r="G457" s="20" t="s">
        <v>55</v>
      </c>
      <c r="H457" s="20" t="s">
        <v>68</v>
      </c>
      <c r="I457" s="20" t="s">
        <v>70</v>
      </c>
      <c r="J457" s="20" t="s">
        <v>103</v>
      </c>
      <c r="K457" s="18">
        <v>8</v>
      </c>
      <c r="L457" s="21">
        <v>4030</v>
      </c>
      <c r="M457" s="21">
        <v>32240</v>
      </c>
      <c r="N457" s="22">
        <v>10</v>
      </c>
      <c r="O457" s="21">
        <v>3224</v>
      </c>
      <c r="P457" s="21">
        <v>29016</v>
      </c>
      <c r="Q457" s="21">
        <v>17837</v>
      </c>
      <c r="R457" s="21">
        <v>11179</v>
      </c>
      <c r="S457" s="18">
        <v>1</v>
      </c>
      <c r="T457" s="21">
        <v>3627</v>
      </c>
      <c r="U457" s="23">
        <v>3.8</v>
      </c>
    </row>
    <row r="458" spans="1:21" x14ac:dyDescent="0.35">
      <c r="A458" s="12" t="s">
        <v>571</v>
      </c>
      <c r="B458" s="12" t="str">
        <f t="shared" si="7"/>
        <v>December</v>
      </c>
      <c r="C458" s="13">
        <v>45262</v>
      </c>
      <c r="D458" s="14" t="s">
        <v>122</v>
      </c>
      <c r="E458" s="14" t="s">
        <v>52</v>
      </c>
      <c r="F458" s="14" t="s">
        <v>94</v>
      </c>
      <c r="G458" s="14" t="s">
        <v>55</v>
      </c>
      <c r="H458" s="14" t="s">
        <v>68</v>
      </c>
      <c r="I458" s="14" t="s">
        <v>69</v>
      </c>
      <c r="J458" s="14" t="s">
        <v>95</v>
      </c>
      <c r="K458" s="12">
        <v>7</v>
      </c>
      <c r="L458" s="15">
        <v>3361</v>
      </c>
      <c r="M458" s="15">
        <v>23527</v>
      </c>
      <c r="N458" s="16">
        <v>20</v>
      </c>
      <c r="O458" s="15">
        <v>4705</v>
      </c>
      <c r="P458" s="15">
        <v>18822</v>
      </c>
      <c r="Q458" s="15">
        <v>9699</v>
      </c>
      <c r="R458" s="15">
        <v>9123</v>
      </c>
      <c r="S458" s="12">
        <v>1</v>
      </c>
      <c r="T458" s="15">
        <v>2689</v>
      </c>
      <c r="U458" s="17">
        <v>3.9</v>
      </c>
    </row>
    <row r="459" spans="1:21" x14ac:dyDescent="0.35">
      <c r="A459" s="18" t="s">
        <v>572</v>
      </c>
      <c r="B459" s="12" t="str">
        <f t="shared" si="7"/>
        <v>December</v>
      </c>
      <c r="C459" s="19">
        <v>45262</v>
      </c>
      <c r="D459" s="20" t="s">
        <v>105</v>
      </c>
      <c r="E459" s="20" t="s">
        <v>59</v>
      </c>
      <c r="F459" s="20" t="s">
        <v>111</v>
      </c>
      <c r="G459" s="20" t="s">
        <v>49</v>
      </c>
      <c r="H459" s="20" t="s">
        <v>68</v>
      </c>
      <c r="I459" s="20" t="s">
        <v>65</v>
      </c>
      <c r="J459" s="20" t="s">
        <v>99</v>
      </c>
      <c r="K459" s="18">
        <v>11</v>
      </c>
      <c r="L459" s="21">
        <v>2156</v>
      </c>
      <c r="M459" s="21">
        <v>23716</v>
      </c>
      <c r="N459" s="22">
        <v>15</v>
      </c>
      <c r="O459" s="21">
        <v>3557</v>
      </c>
      <c r="P459" s="21">
        <v>20159</v>
      </c>
      <c r="Q459" s="21">
        <v>11681</v>
      </c>
      <c r="R459" s="21">
        <v>8478</v>
      </c>
      <c r="S459" s="18">
        <v>2</v>
      </c>
      <c r="T459" s="21">
        <v>3665</v>
      </c>
      <c r="U459" s="23">
        <v>4.3</v>
      </c>
    </row>
    <row r="460" spans="1:21" x14ac:dyDescent="0.35">
      <c r="A460" s="12" t="s">
        <v>573</v>
      </c>
      <c r="B460" s="12" t="str">
        <f t="shared" si="7"/>
        <v>December</v>
      </c>
      <c r="C460" s="13">
        <v>45262</v>
      </c>
      <c r="D460" s="14" t="s">
        <v>142</v>
      </c>
      <c r="E460" s="14" t="s">
        <v>48</v>
      </c>
      <c r="F460" s="14" t="s">
        <v>116</v>
      </c>
      <c r="G460" s="14" t="s">
        <v>55</v>
      </c>
      <c r="H460" s="14" t="s">
        <v>66</v>
      </c>
      <c r="I460" s="14" t="s">
        <v>70</v>
      </c>
      <c r="J460" s="14" t="s">
        <v>103</v>
      </c>
      <c r="K460" s="12">
        <v>11</v>
      </c>
      <c r="L460" s="15">
        <v>3066</v>
      </c>
      <c r="M460" s="15">
        <v>33726</v>
      </c>
      <c r="N460" s="16">
        <v>15</v>
      </c>
      <c r="O460" s="15">
        <v>5059</v>
      </c>
      <c r="P460" s="15">
        <v>28667</v>
      </c>
      <c r="Q460" s="15">
        <v>16627</v>
      </c>
      <c r="R460" s="15">
        <v>12040</v>
      </c>
      <c r="S460" s="12">
        <v>2</v>
      </c>
      <c r="T460" s="15">
        <v>5212</v>
      </c>
      <c r="U460" s="17">
        <v>4.2</v>
      </c>
    </row>
    <row r="461" spans="1:21" x14ac:dyDescent="0.35">
      <c r="A461" s="18" t="s">
        <v>574</v>
      </c>
      <c r="B461" s="12" t="str">
        <f t="shared" si="7"/>
        <v>December</v>
      </c>
      <c r="C461" s="19">
        <v>45263</v>
      </c>
      <c r="D461" s="20" t="s">
        <v>113</v>
      </c>
      <c r="E461" s="20" t="s">
        <v>56</v>
      </c>
      <c r="F461" s="20" t="s">
        <v>94</v>
      </c>
      <c r="G461" s="20" t="s">
        <v>51</v>
      </c>
      <c r="H461" s="20" t="s">
        <v>66</v>
      </c>
      <c r="I461" s="20" t="s">
        <v>71</v>
      </c>
      <c r="J461" s="20" t="s">
        <v>95</v>
      </c>
      <c r="K461" s="18">
        <v>10</v>
      </c>
      <c r="L461" s="21">
        <v>4922</v>
      </c>
      <c r="M461" s="21">
        <v>49220</v>
      </c>
      <c r="N461" s="22">
        <v>30</v>
      </c>
      <c r="O461" s="21">
        <v>14766</v>
      </c>
      <c r="P461" s="21">
        <v>34454</v>
      </c>
      <c r="Q461" s="21">
        <v>23832</v>
      </c>
      <c r="R461" s="21">
        <v>10622</v>
      </c>
      <c r="S461" s="18">
        <v>1</v>
      </c>
      <c r="T461" s="21">
        <v>3445</v>
      </c>
      <c r="U461" s="23">
        <v>4.9000000000000004</v>
      </c>
    </row>
    <row r="462" spans="1:21" x14ac:dyDescent="0.35">
      <c r="A462" s="12" t="s">
        <v>575</v>
      </c>
      <c r="B462" s="12" t="str">
        <f t="shared" si="7"/>
        <v>December</v>
      </c>
      <c r="C462" s="13">
        <v>45263</v>
      </c>
      <c r="D462" s="14" t="s">
        <v>93</v>
      </c>
      <c r="E462" s="14" t="s">
        <v>50</v>
      </c>
      <c r="F462" s="14" t="s">
        <v>111</v>
      </c>
      <c r="G462" s="14" t="s">
        <v>49</v>
      </c>
      <c r="H462" s="14" t="s">
        <v>64</v>
      </c>
      <c r="I462" s="14" t="s">
        <v>65</v>
      </c>
      <c r="J462" s="14" t="s">
        <v>99</v>
      </c>
      <c r="K462" s="12">
        <v>15</v>
      </c>
      <c r="L462" s="15">
        <v>4007</v>
      </c>
      <c r="M462" s="15">
        <v>60105</v>
      </c>
      <c r="N462" s="16">
        <v>30</v>
      </c>
      <c r="O462" s="15">
        <v>18032</v>
      </c>
      <c r="P462" s="15">
        <v>42073</v>
      </c>
      <c r="Q462" s="15">
        <v>25488</v>
      </c>
      <c r="R462" s="15">
        <v>16585</v>
      </c>
      <c r="S462" s="12">
        <v>3</v>
      </c>
      <c r="T462" s="15">
        <v>8415</v>
      </c>
      <c r="U462" s="17">
        <v>3.8</v>
      </c>
    </row>
    <row r="463" spans="1:21" x14ac:dyDescent="0.35">
      <c r="A463" s="18" t="s">
        <v>576</v>
      </c>
      <c r="B463" s="12" t="str">
        <f t="shared" si="7"/>
        <v>December</v>
      </c>
      <c r="C463" s="19">
        <v>45265</v>
      </c>
      <c r="D463" s="20" t="s">
        <v>120</v>
      </c>
      <c r="E463" s="20" t="s">
        <v>48</v>
      </c>
      <c r="F463" s="20" t="s">
        <v>106</v>
      </c>
      <c r="G463" s="20" t="s">
        <v>55</v>
      </c>
      <c r="H463" s="20" t="s">
        <v>68</v>
      </c>
      <c r="I463" s="20" t="s">
        <v>67</v>
      </c>
      <c r="J463" s="20" t="s">
        <v>95</v>
      </c>
      <c r="K463" s="18">
        <v>9</v>
      </c>
      <c r="L463" s="21">
        <v>4757</v>
      </c>
      <c r="M463" s="21">
        <v>42813</v>
      </c>
      <c r="N463" s="22">
        <v>10</v>
      </c>
      <c r="O463" s="21">
        <v>4281</v>
      </c>
      <c r="P463" s="21">
        <v>38532</v>
      </c>
      <c r="Q463" s="21">
        <v>23370</v>
      </c>
      <c r="R463" s="21">
        <v>15162</v>
      </c>
      <c r="S463" s="18">
        <v>1</v>
      </c>
      <c r="T463" s="21">
        <v>4281</v>
      </c>
      <c r="U463" s="23">
        <v>3.9</v>
      </c>
    </row>
    <row r="464" spans="1:21" x14ac:dyDescent="0.35">
      <c r="A464" s="12" t="s">
        <v>577</v>
      </c>
      <c r="B464" s="12" t="str">
        <f t="shared" si="7"/>
        <v>December</v>
      </c>
      <c r="C464" s="13">
        <v>45265</v>
      </c>
      <c r="D464" s="14" t="s">
        <v>93</v>
      </c>
      <c r="E464" s="14" t="s">
        <v>54</v>
      </c>
      <c r="F464" s="14" t="s">
        <v>124</v>
      </c>
      <c r="G464" s="14" t="s">
        <v>57</v>
      </c>
      <c r="H464" s="14" t="s">
        <v>66</v>
      </c>
      <c r="I464" s="14" t="s">
        <v>67</v>
      </c>
      <c r="J464" s="14" t="s">
        <v>95</v>
      </c>
      <c r="K464" s="12">
        <v>13</v>
      </c>
      <c r="L464" s="15">
        <v>3625</v>
      </c>
      <c r="M464" s="15">
        <v>47125</v>
      </c>
      <c r="N464" s="16">
        <v>50</v>
      </c>
      <c r="O464" s="15">
        <v>23562</v>
      </c>
      <c r="P464" s="15">
        <v>23563</v>
      </c>
      <c r="Q464" s="15">
        <v>11899</v>
      </c>
      <c r="R464" s="15">
        <v>11664</v>
      </c>
      <c r="S464" s="12">
        <v>1</v>
      </c>
      <c r="T464" s="15">
        <v>1812</v>
      </c>
      <c r="U464" s="17">
        <v>3.8</v>
      </c>
    </row>
    <row r="465" spans="1:21" x14ac:dyDescent="0.35">
      <c r="A465" s="18" t="s">
        <v>578</v>
      </c>
      <c r="B465" s="12" t="str">
        <f t="shared" si="7"/>
        <v>December</v>
      </c>
      <c r="C465" s="19">
        <v>45265</v>
      </c>
      <c r="D465" s="20" t="s">
        <v>120</v>
      </c>
      <c r="E465" s="20" t="s">
        <v>52</v>
      </c>
      <c r="F465" s="20" t="s">
        <v>116</v>
      </c>
      <c r="G465" s="20" t="s">
        <v>53</v>
      </c>
      <c r="H465" s="20" t="s">
        <v>66</v>
      </c>
      <c r="I465" s="20" t="s">
        <v>69</v>
      </c>
      <c r="J465" s="20" t="s">
        <v>99</v>
      </c>
      <c r="K465" s="18">
        <v>11</v>
      </c>
      <c r="L465" s="21">
        <v>2549</v>
      </c>
      <c r="M465" s="21">
        <v>28039</v>
      </c>
      <c r="N465" s="22">
        <v>15</v>
      </c>
      <c r="O465" s="21">
        <v>4206</v>
      </c>
      <c r="P465" s="21">
        <v>23833</v>
      </c>
      <c r="Q465" s="21">
        <v>14245</v>
      </c>
      <c r="R465" s="21">
        <v>9588</v>
      </c>
      <c r="S465" s="18">
        <v>2</v>
      </c>
      <c r="T465" s="21">
        <v>4333</v>
      </c>
      <c r="U465" s="23">
        <v>4.5999999999999996</v>
      </c>
    </row>
    <row r="466" spans="1:21" x14ac:dyDescent="0.35">
      <c r="A466" s="12" t="s">
        <v>579</v>
      </c>
      <c r="B466" s="12" t="str">
        <f t="shared" si="7"/>
        <v>December</v>
      </c>
      <c r="C466" s="13">
        <v>45265</v>
      </c>
      <c r="D466" s="14" t="s">
        <v>115</v>
      </c>
      <c r="E466" s="14" t="s">
        <v>50</v>
      </c>
      <c r="F466" s="14" t="s">
        <v>111</v>
      </c>
      <c r="G466" s="14" t="s">
        <v>51</v>
      </c>
      <c r="H466" s="14" t="s">
        <v>66</v>
      </c>
      <c r="I466" s="14" t="s">
        <v>67</v>
      </c>
      <c r="J466" s="14" t="s">
        <v>95</v>
      </c>
      <c r="K466" s="12">
        <v>11</v>
      </c>
      <c r="L466" s="15">
        <v>1542</v>
      </c>
      <c r="M466" s="15">
        <v>16962</v>
      </c>
      <c r="N466" s="16">
        <v>5</v>
      </c>
      <c r="O466" s="15">
        <v>848</v>
      </c>
      <c r="P466" s="15">
        <v>16114</v>
      </c>
      <c r="Q466" s="15">
        <v>7463</v>
      </c>
      <c r="R466" s="15">
        <v>8651</v>
      </c>
      <c r="S466" s="12">
        <v>1</v>
      </c>
      <c r="T466" s="15">
        <v>1465</v>
      </c>
      <c r="U466" s="17">
        <v>3.5</v>
      </c>
    </row>
    <row r="467" spans="1:21" x14ac:dyDescent="0.35">
      <c r="A467" s="18" t="s">
        <v>580</v>
      </c>
      <c r="B467" s="12" t="str">
        <f t="shared" si="7"/>
        <v>December</v>
      </c>
      <c r="C467" s="19">
        <v>45266</v>
      </c>
      <c r="D467" s="20" t="s">
        <v>131</v>
      </c>
      <c r="E467" s="20" t="s">
        <v>52</v>
      </c>
      <c r="F467" s="20" t="s">
        <v>94</v>
      </c>
      <c r="G467" s="20" t="s">
        <v>53</v>
      </c>
      <c r="H467" s="20" t="s">
        <v>66</v>
      </c>
      <c r="I467" s="20" t="s">
        <v>65</v>
      </c>
      <c r="J467" s="20" t="s">
        <v>95</v>
      </c>
      <c r="K467" s="18">
        <v>10</v>
      </c>
      <c r="L467" s="21">
        <v>3631</v>
      </c>
      <c r="M467" s="21">
        <v>36310</v>
      </c>
      <c r="N467" s="22">
        <v>5</v>
      </c>
      <c r="O467" s="21">
        <v>1816</v>
      </c>
      <c r="P467" s="21">
        <v>34494</v>
      </c>
      <c r="Q467" s="21">
        <v>18192</v>
      </c>
      <c r="R467" s="21">
        <v>16302</v>
      </c>
      <c r="S467" s="18">
        <v>1</v>
      </c>
      <c r="T467" s="21">
        <v>3449</v>
      </c>
      <c r="U467" s="23">
        <v>4.0999999999999996</v>
      </c>
    </row>
    <row r="468" spans="1:21" x14ac:dyDescent="0.35">
      <c r="A468" s="12" t="s">
        <v>581</v>
      </c>
      <c r="B468" s="12" t="str">
        <f t="shared" si="7"/>
        <v>December</v>
      </c>
      <c r="C468" s="13">
        <v>45266</v>
      </c>
      <c r="D468" s="14" t="s">
        <v>105</v>
      </c>
      <c r="E468" s="14" t="s">
        <v>48</v>
      </c>
      <c r="F468" s="14" t="s">
        <v>108</v>
      </c>
      <c r="G468" s="14" t="s">
        <v>57</v>
      </c>
      <c r="H468" s="14" t="s">
        <v>66</v>
      </c>
      <c r="I468" s="14" t="s">
        <v>70</v>
      </c>
      <c r="J468" s="14" t="s">
        <v>99</v>
      </c>
      <c r="K468" s="12">
        <v>14</v>
      </c>
      <c r="L468" s="15">
        <v>4523</v>
      </c>
      <c r="M468" s="15">
        <v>63322</v>
      </c>
      <c r="N468" s="16">
        <v>50</v>
      </c>
      <c r="O468" s="15">
        <v>31661</v>
      </c>
      <c r="P468" s="15">
        <v>31661</v>
      </c>
      <c r="Q468" s="15">
        <v>19937</v>
      </c>
      <c r="R468" s="15">
        <v>11724</v>
      </c>
      <c r="S468" s="12">
        <v>0</v>
      </c>
      <c r="T468" s="15">
        <v>0</v>
      </c>
      <c r="U468" s="17">
        <v>3.2</v>
      </c>
    </row>
    <row r="469" spans="1:21" x14ac:dyDescent="0.35">
      <c r="A469" s="18" t="s">
        <v>582</v>
      </c>
      <c r="B469" s="12" t="str">
        <f t="shared" si="7"/>
        <v>December</v>
      </c>
      <c r="C469" s="19">
        <v>45266</v>
      </c>
      <c r="D469" s="20" t="s">
        <v>142</v>
      </c>
      <c r="E469" s="20" t="s">
        <v>56</v>
      </c>
      <c r="F469" s="20" t="s">
        <v>116</v>
      </c>
      <c r="G469" s="20" t="s">
        <v>51</v>
      </c>
      <c r="H469" s="20" t="s">
        <v>66</v>
      </c>
      <c r="I469" s="20" t="s">
        <v>71</v>
      </c>
      <c r="J469" s="20" t="s">
        <v>95</v>
      </c>
      <c r="K469" s="18">
        <v>1</v>
      </c>
      <c r="L469" s="21">
        <v>3323</v>
      </c>
      <c r="M469" s="21">
        <v>3323</v>
      </c>
      <c r="N469" s="22">
        <v>10</v>
      </c>
      <c r="O469" s="21">
        <v>332</v>
      </c>
      <c r="P469" s="21">
        <v>2991</v>
      </c>
      <c r="Q469" s="21">
        <v>1724</v>
      </c>
      <c r="R469" s="21">
        <v>1267</v>
      </c>
      <c r="S469" s="18">
        <v>1</v>
      </c>
      <c r="T469" s="21">
        <v>2991</v>
      </c>
      <c r="U469" s="23">
        <v>4.5999999999999996</v>
      </c>
    </row>
    <row r="470" spans="1:21" x14ac:dyDescent="0.35">
      <c r="A470" s="12" t="s">
        <v>583</v>
      </c>
      <c r="B470" s="12" t="str">
        <f t="shared" si="7"/>
        <v>December</v>
      </c>
      <c r="C470" s="13">
        <v>45268</v>
      </c>
      <c r="D470" s="14" t="s">
        <v>115</v>
      </c>
      <c r="E470" s="14" t="s">
        <v>56</v>
      </c>
      <c r="F470" s="14" t="s">
        <v>116</v>
      </c>
      <c r="G470" s="14" t="s">
        <v>57</v>
      </c>
      <c r="H470" s="14" t="s">
        <v>68</v>
      </c>
      <c r="I470" s="14" t="s">
        <v>65</v>
      </c>
      <c r="J470" s="14" t="s">
        <v>95</v>
      </c>
      <c r="K470" s="12">
        <v>9</v>
      </c>
      <c r="L470" s="15">
        <v>799</v>
      </c>
      <c r="M470" s="15">
        <v>7191</v>
      </c>
      <c r="N470" s="16">
        <v>30</v>
      </c>
      <c r="O470" s="15">
        <v>2157</v>
      </c>
      <c r="P470" s="15">
        <v>5034</v>
      </c>
      <c r="Q470" s="15">
        <v>2448</v>
      </c>
      <c r="R470" s="15">
        <v>2586</v>
      </c>
      <c r="S470" s="12">
        <v>2</v>
      </c>
      <c r="T470" s="15">
        <v>1119</v>
      </c>
      <c r="U470" s="17">
        <v>2.6</v>
      </c>
    </row>
    <row r="471" spans="1:21" x14ac:dyDescent="0.35">
      <c r="A471" s="18" t="s">
        <v>584</v>
      </c>
      <c r="B471" s="12" t="str">
        <f t="shared" si="7"/>
        <v>December</v>
      </c>
      <c r="C471" s="19">
        <v>45269</v>
      </c>
      <c r="D471" s="20" t="s">
        <v>115</v>
      </c>
      <c r="E471" s="20" t="s">
        <v>59</v>
      </c>
      <c r="F471" s="20" t="s">
        <v>111</v>
      </c>
      <c r="G471" s="20" t="s">
        <v>51</v>
      </c>
      <c r="H471" s="20" t="s">
        <v>68</v>
      </c>
      <c r="I471" s="20" t="s">
        <v>67</v>
      </c>
      <c r="J471" s="20" t="s">
        <v>95</v>
      </c>
      <c r="K471" s="18">
        <v>1</v>
      </c>
      <c r="L471" s="21">
        <v>1525</v>
      </c>
      <c r="M471" s="21">
        <v>1525</v>
      </c>
      <c r="N471" s="22">
        <v>15</v>
      </c>
      <c r="O471" s="21">
        <v>229</v>
      </c>
      <c r="P471" s="21">
        <v>1296</v>
      </c>
      <c r="Q471" s="21">
        <v>728</v>
      </c>
      <c r="R471" s="21">
        <v>568</v>
      </c>
      <c r="S471" s="18">
        <v>1</v>
      </c>
      <c r="T471" s="21">
        <v>1296</v>
      </c>
      <c r="U471" s="23">
        <v>4.9000000000000004</v>
      </c>
    </row>
    <row r="472" spans="1:21" x14ac:dyDescent="0.35">
      <c r="A472" s="12" t="s">
        <v>585</v>
      </c>
      <c r="B472" s="12" t="str">
        <f t="shared" si="7"/>
        <v>December</v>
      </c>
      <c r="C472" s="13">
        <v>45270</v>
      </c>
      <c r="D472" s="14" t="s">
        <v>97</v>
      </c>
      <c r="E472" s="14" t="s">
        <v>48</v>
      </c>
      <c r="F472" s="14" t="s">
        <v>106</v>
      </c>
      <c r="G472" s="14" t="s">
        <v>55</v>
      </c>
      <c r="H472" s="14" t="s">
        <v>64</v>
      </c>
      <c r="I472" s="14" t="s">
        <v>67</v>
      </c>
      <c r="J472" s="14" t="s">
        <v>99</v>
      </c>
      <c r="K472" s="12">
        <v>15</v>
      </c>
      <c r="L472" s="15">
        <v>371</v>
      </c>
      <c r="M472" s="15">
        <v>5565</v>
      </c>
      <c r="N472" s="16">
        <v>15</v>
      </c>
      <c r="O472" s="15">
        <v>835</v>
      </c>
      <c r="P472" s="15">
        <v>4730</v>
      </c>
      <c r="Q472" s="15">
        <v>3266</v>
      </c>
      <c r="R472" s="15">
        <v>1464</v>
      </c>
      <c r="S472" s="12">
        <v>0</v>
      </c>
      <c r="T472" s="15">
        <v>0</v>
      </c>
      <c r="U472" s="17">
        <v>4.4000000000000004</v>
      </c>
    </row>
    <row r="473" spans="1:21" x14ac:dyDescent="0.35">
      <c r="A473" s="18" t="s">
        <v>586</v>
      </c>
      <c r="B473" s="12" t="str">
        <f t="shared" si="7"/>
        <v>December</v>
      </c>
      <c r="C473" s="19">
        <v>45272</v>
      </c>
      <c r="D473" s="20" t="s">
        <v>142</v>
      </c>
      <c r="E473" s="20" t="s">
        <v>56</v>
      </c>
      <c r="F473" s="20" t="s">
        <v>98</v>
      </c>
      <c r="G473" s="20" t="s">
        <v>51</v>
      </c>
      <c r="H473" s="20" t="s">
        <v>66</v>
      </c>
      <c r="I473" s="20" t="s">
        <v>71</v>
      </c>
      <c r="J473" s="20" t="s">
        <v>95</v>
      </c>
      <c r="K473" s="18">
        <v>1</v>
      </c>
      <c r="L473" s="21">
        <v>4335</v>
      </c>
      <c r="M473" s="21">
        <v>4335</v>
      </c>
      <c r="N473" s="22">
        <v>0</v>
      </c>
      <c r="O473" s="21">
        <v>0</v>
      </c>
      <c r="P473" s="21">
        <v>4335</v>
      </c>
      <c r="Q473" s="21">
        <v>2216</v>
      </c>
      <c r="R473" s="21">
        <v>2119</v>
      </c>
      <c r="S473" s="18">
        <v>1</v>
      </c>
      <c r="T473" s="21">
        <v>4335</v>
      </c>
      <c r="U473" s="23">
        <v>3.4</v>
      </c>
    </row>
    <row r="474" spans="1:21" x14ac:dyDescent="0.35">
      <c r="A474" s="12" t="s">
        <v>587</v>
      </c>
      <c r="B474" s="12" t="str">
        <f t="shared" si="7"/>
        <v>December</v>
      </c>
      <c r="C474" s="13">
        <v>45273</v>
      </c>
      <c r="D474" s="14" t="s">
        <v>122</v>
      </c>
      <c r="E474" s="14" t="s">
        <v>56</v>
      </c>
      <c r="F474" s="14" t="s">
        <v>111</v>
      </c>
      <c r="G474" s="14" t="s">
        <v>57</v>
      </c>
      <c r="H474" s="14" t="s">
        <v>66</v>
      </c>
      <c r="I474" s="14" t="s">
        <v>67</v>
      </c>
      <c r="J474" s="14" t="s">
        <v>99</v>
      </c>
      <c r="K474" s="12">
        <v>9</v>
      </c>
      <c r="L474" s="15">
        <v>4218</v>
      </c>
      <c r="M474" s="15">
        <v>37962</v>
      </c>
      <c r="N474" s="16">
        <v>20</v>
      </c>
      <c r="O474" s="15">
        <v>7592</v>
      </c>
      <c r="P474" s="15">
        <v>30370</v>
      </c>
      <c r="Q474" s="15">
        <v>15845</v>
      </c>
      <c r="R474" s="15">
        <v>14525</v>
      </c>
      <c r="S474" s="12">
        <v>1</v>
      </c>
      <c r="T474" s="15">
        <v>3374</v>
      </c>
      <c r="U474" s="17">
        <v>4.5</v>
      </c>
    </row>
    <row r="475" spans="1:21" x14ac:dyDescent="0.35">
      <c r="A475" s="18" t="s">
        <v>588</v>
      </c>
      <c r="B475" s="12" t="str">
        <f t="shared" si="7"/>
        <v>December</v>
      </c>
      <c r="C475" s="19">
        <v>45273</v>
      </c>
      <c r="D475" s="20" t="s">
        <v>97</v>
      </c>
      <c r="E475" s="20" t="s">
        <v>48</v>
      </c>
      <c r="F475" s="20" t="s">
        <v>116</v>
      </c>
      <c r="G475" s="20" t="s">
        <v>55</v>
      </c>
      <c r="H475" s="20" t="s">
        <v>68</v>
      </c>
      <c r="I475" s="20" t="s">
        <v>70</v>
      </c>
      <c r="J475" s="20" t="s">
        <v>99</v>
      </c>
      <c r="K475" s="18">
        <v>1</v>
      </c>
      <c r="L475" s="21">
        <v>1651</v>
      </c>
      <c r="M475" s="21">
        <v>1651</v>
      </c>
      <c r="N475" s="22">
        <v>5</v>
      </c>
      <c r="O475" s="21">
        <v>83</v>
      </c>
      <c r="P475" s="21">
        <v>1568</v>
      </c>
      <c r="Q475" s="21">
        <v>841</v>
      </c>
      <c r="R475" s="21">
        <v>727</v>
      </c>
      <c r="S475" s="18">
        <v>1</v>
      </c>
      <c r="T475" s="21">
        <v>1568</v>
      </c>
      <c r="U475" s="23">
        <v>4.0999999999999996</v>
      </c>
    </row>
    <row r="476" spans="1:21" x14ac:dyDescent="0.35">
      <c r="A476" s="12" t="s">
        <v>589</v>
      </c>
      <c r="B476" s="12" t="str">
        <f t="shared" si="7"/>
        <v>December</v>
      </c>
      <c r="C476" s="13">
        <v>45273</v>
      </c>
      <c r="D476" s="14" t="s">
        <v>93</v>
      </c>
      <c r="E476" s="14" t="s">
        <v>56</v>
      </c>
      <c r="F476" s="14" t="s">
        <v>124</v>
      </c>
      <c r="G476" s="14" t="s">
        <v>57</v>
      </c>
      <c r="H476" s="14" t="s">
        <v>64</v>
      </c>
      <c r="I476" s="14" t="s">
        <v>71</v>
      </c>
      <c r="J476" s="14" t="s">
        <v>95</v>
      </c>
      <c r="K476" s="12">
        <v>14</v>
      </c>
      <c r="L476" s="15">
        <v>2566</v>
      </c>
      <c r="M476" s="15">
        <v>35924</v>
      </c>
      <c r="N476" s="16">
        <v>25</v>
      </c>
      <c r="O476" s="15">
        <v>8981</v>
      </c>
      <c r="P476" s="15">
        <v>26943</v>
      </c>
      <c r="Q476" s="15">
        <v>15441</v>
      </c>
      <c r="R476" s="15">
        <v>11502</v>
      </c>
      <c r="S476" s="12">
        <v>2</v>
      </c>
      <c r="T476" s="15">
        <v>3849</v>
      </c>
      <c r="U476" s="17">
        <v>3.7</v>
      </c>
    </row>
    <row r="477" spans="1:21" x14ac:dyDescent="0.35">
      <c r="A477" s="18" t="s">
        <v>590</v>
      </c>
      <c r="B477" s="12" t="str">
        <f t="shared" si="7"/>
        <v>December</v>
      </c>
      <c r="C477" s="19">
        <v>45274</v>
      </c>
      <c r="D477" s="20" t="s">
        <v>97</v>
      </c>
      <c r="E477" s="20" t="s">
        <v>52</v>
      </c>
      <c r="F477" s="20" t="s">
        <v>151</v>
      </c>
      <c r="G477" s="20" t="s">
        <v>51</v>
      </c>
      <c r="H477" s="20" t="s">
        <v>66</v>
      </c>
      <c r="I477" s="20" t="s">
        <v>65</v>
      </c>
      <c r="J477" s="20" t="s">
        <v>95</v>
      </c>
      <c r="K477" s="18">
        <v>3</v>
      </c>
      <c r="L477" s="21">
        <v>615</v>
      </c>
      <c r="M477" s="21">
        <v>1845</v>
      </c>
      <c r="N477" s="22">
        <v>25</v>
      </c>
      <c r="O477" s="21">
        <v>461</v>
      </c>
      <c r="P477" s="21">
        <v>1384</v>
      </c>
      <c r="Q477" s="21">
        <v>748</v>
      </c>
      <c r="R477" s="21">
        <v>636</v>
      </c>
      <c r="S477" s="18">
        <v>0</v>
      </c>
      <c r="T477" s="21">
        <v>0</v>
      </c>
      <c r="U477" s="23">
        <v>4</v>
      </c>
    </row>
    <row r="478" spans="1:21" x14ac:dyDescent="0.35">
      <c r="A478" s="12" t="s">
        <v>591</v>
      </c>
      <c r="B478" s="12" t="str">
        <f t="shared" si="7"/>
        <v>December</v>
      </c>
      <c r="C478" s="13">
        <v>45274</v>
      </c>
      <c r="D478" s="14" t="s">
        <v>113</v>
      </c>
      <c r="E478" s="14" t="s">
        <v>58</v>
      </c>
      <c r="F478" s="14" t="s">
        <v>98</v>
      </c>
      <c r="G478" s="14" t="s">
        <v>51</v>
      </c>
      <c r="H478" s="14" t="s">
        <v>68</v>
      </c>
      <c r="I478" s="14" t="s">
        <v>69</v>
      </c>
      <c r="J478" s="14" t="s">
        <v>99</v>
      </c>
      <c r="K478" s="12">
        <v>14</v>
      </c>
      <c r="L478" s="15">
        <v>3382</v>
      </c>
      <c r="M478" s="15">
        <v>47348</v>
      </c>
      <c r="N478" s="16">
        <v>10</v>
      </c>
      <c r="O478" s="15">
        <v>4735</v>
      </c>
      <c r="P478" s="15">
        <v>42613</v>
      </c>
      <c r="Q478" s="15">
        <v>21836</v>
      </c>
      <c r="R478" s="15">
        <v>20777</v>
      </c>
      <c r="S478" s="12">
        <v>2</v>
      </c>
      <c r="T478" s="15">
        <v>6088</v>
      </c>
      <c r="U478" s="17">
        <v>4.5999999999999996</v>
      </c>
    </row>
    <row r="479" spans="1:21" x14ac:dyDescent="0.35">
      <c r="A479" s="18" t="s">
        <v>592</v>
      </c>
      <c r="B479" s="12" t="str">
        <f t="shared" si="7"/>
        <v>December</v>
      </c>
      <c r="C479" s="19">
        <v>45275</v>
      </c>
      <c r="D479" s="20" t="s">
        <v>105</v>
      </c>
      <c r="E479" s="20" t="s">
        <v>54</v>
      </c>
      <c r="F479" s="20" t="s">
        <v>98</v>
      </c>
      <c r="G479" s="20" t="s">
        <v>51</v>
      </c>
      <c r="H479" s="20" t="s">
        <v>68</v>
      </c>
      <c r="I479" s="20" t="s">
        <v>70</v>
      </c>
      <c r="J479" s="20" t="s">
        <v>103</v>
      </c>
      <c r="K479" s="18">
        <v>14</v>
      </c>
      <c r="L479" s="21">
        <v>1742</v>
      </c>
      <c r="M479" s="21">
        <v>24388</v>
      </c>
      <c r="N479" s="22">
        <v>25</v>
      </c>
      <c r="O479" s="21">
        <v>6097</v>
      </c>
      <c r="P479" s="21">
        <v>18291</v>
      </c>
      <c r="Q479" s="21">
        <v>9931</v>
      </c>
      <c r="R479" s="21">
        <v>8360</v>
      </c>
      <c r="S479" s="18">
        <v>2</v>
      </c>
      <c r="T479" s="21">
        <v>2613</v>
      </c>
      <c r="U479" s="23">
        <v>3.7</v>
      </c>
    </row>
    <row r="480" spans="1:21" x14ac:dyDescent="0.35">
      <c r="A480" s="12" t="s">
        <v>593</v>
      </c>
      <c r="B480" s="12" t="str">
        <f t="shared" si="7"/>
        <v>December</v>
      </c>
      <c r="C480" s="13">
        <v>45277</v>
      </c>
      <c r="D480" s="14" t="s">
        <v>105</v>
      </c>
      <c r="E480" s="14" t="s">
        <v>50</v>
      </c>
      <c r="F480" s="14" t="s">
        <v>111</v>
      </c>
      <c r="G480" s="14" t="s">
        <v>51</v>
      </c>
      <c r="H480" s="14" t="s">
        <v>68</v>
      </c>
      <c r="I480" s="14" t="s">
        <v>67</v>
      </c>
      <c r="J480" s="14" t="s">
        <v>99</v>
      </c>
      <c r="K480" s="12">
        <v>8</v>
      </c>
      <c r="L480" s="15">
        <v>985</v>
      </c>
      <c r="M480" s="15">
        <v>7880</v>
      </c>
      <c r="N480" s="16">
        <v>10</v>
      </c>
      <c r="O480" s="15">
        <v>788</v>
      </c>
      <c r="P480" s="15">
        <v>7092</v>
      </c>
      <c r="Q480" s="15">
        <v>3962</v>
      </c>
      <c r="R480" s="15">
        <v>3130</v>
      </c>
      <c r="S480" s="12">
        <v>1</v>
      </c>
      <c r="T480" s="15">
        <v>886</v>
      </c>
      <c r="U480" s="17">
        <v>3.2</v>
      </c>
    </row>
    <row r="481" spans="1:21" x14ac:dyDescent="0.35">
      <c r="A481" s="18" t="s">
        <v>594</v>
      </c>
      <c r="B481" s="12" t="str">
        <f t="shared" si="7"/>
        <v>December</v>
      </c>
      <c r="C481" s="19">
        <v>45277</v>
      </c>
      <c r="D481" s="20" t="s">
        <v>115</v>
      </c>
      <c r="E481" s="20" t="s">
        <v>50</v>
      </c>
      <c r="F481" s="20" t="s">
        <v>116</v>
      </c>
      <c r="G481" s="20" t="s">
        <v>55</v>
      </c>
      <c r="H481" s="20" t="s">
        <v>68</v>
      </c>
      <c r="I481" s="20" t="s">
        <v>70</v>
      </c>
      <c r="J481" s="20" t="s">
        <v>95</v>
      </c>
      <c r="K481" s="18">
        <v>10</v>
      </c>
      <c r="L481" s="21">
        <v>444</v>
      </c>
      <c r="M481" s="21">
        <v>4440</v>
      </c>
      <c r="N481" s="22">
        <v>15</v>
      </c>
      <c r="O481" s="21">
        <v>666</v>
      </c>
      <c r="P481" s="21">
        <v>3774</v>
      </c>
      <c r="Q481" s="21">
        <v>1974</v>
      </c>
      <c r="R481" s="21">
        <v>1800</v>
      </c>
      <c r="S481" s="18">
        <v>1</v>
      </c>
      <c r="T481" s="21">
        <v>377</v>
      </c>
      <c r="U481" s="23">
        <v>3.1</v>
      </c>
    </row>
    <row r="482" spans="1:21" x14ac:dyDescent="0.35">
      <c r="A482" s="12" t="s">
        <v>595</v>
      </c>
      <c r="B482" s="12" t="str">
        <f t="shared" si="7"/>
        <v>December</v>
      </c>
      <c r="C482" s="13">
        <v>45277</v>
      </c>
      <c r="D482" s="14" t="s">
        <v>120</v>
      </c>
      <c r="E482" s="14" t="s">
        <v>52</v>
      </c>
      <c r="F482" s="14" t="s">
        <v>102</v>
      </c>
      <c r="G482" s="14" t="s">
        <v>51</v>
      </c>
      <c r="H482" s="14" t="s">
        <v>68</v>
      </c>
      <c r="I482" s="14" t="s">
        <v>70</v>
      </c>
      <c r="J482" s="14" t="s">
        <v>95</v>
      </c>
      <c r="K482" s="12">
        <v>10</v>
      </c>
      <c r="L482" s="15">
        <v>4758</v>
      </c>
      <c r="M482" s="15">
        <v>47580</v>
      </c>
      <c r="N482" s="16">
        <v>10</v>
      </c>
      <c r="O482" s="15">
        <v>4758</v>
      </c>
      <c r="P482" s="15">
        <v>42822</v>
      </c>
      <c r="Q482" s="15">
        <v>27148</v>
      </c>
      <c r="R482" s="15">
        <v>15674</v>
      </c>
      <c r="S482" s="12">
        <v>1</v>
      </c>
      <c r="T482" s="15">
        <v>4282</v>
      </c>
      <c r="U482" s="17">
        <v>4.8</v>
      </c>
    </row>
    <row r="483" spans="1:21" x14ac:dyDescent="0.35">
      <c r="A483" s="18" t="s">
        <v>596</v>
      </c>
      <c r="B483" s="12" t="str">
        <f t="shared" si="7"/>
        <v>December</v>
      </c>
      <c r="C483" s="19">
        <v>45278</v>
      </c>
      <c r="D483" s="20" t="s">
        <v>122</v>
      </c>
      <c r="E483" s="20" t="s">
        <v>54</v>
      </c>
      <c r="F483" s="20" t="s">
        <v>111</v>
      </c>
      <c r="G483" s="20" t="s">
        <v>51</v>
      </c>
      <c r="H483" s="20" t="s">
        <v>66</v>
      </c>
      <c r="I483" s="20" t="s">
        <v>71</v>
      </c>
      <c r="J483" s="20" t="s">
        <v>103</v>
      </c>
      <c r="K483" s="18">
        <v>11</v>
      </c>
      <c r="L483" s="21">
        <v>1814</v>
      </c>
      <c r="M483" s="21">
        <v>19954</v>
      </c>
      <c r="N483" s="22">
        <v>5</v>
      </c>
      <c r="O483" s="21">
        <v>998</v>
      </c>
      <c r="P483" s="21">
        <v>18956</v>
      </c>
      <c r="Q483" s="21">
        <v>12136</v>
      </c>
      <c r="R483" s="21">
        <v>6820</v>
      </c>
      <c r="S483" s="18">
        <v>2</v>
      </c>
      <c r="T483" s="21">
        <v>3447</v>
      </c>
      <c r="U483" s="23">
        <v>3.7</v>
      </c>
    </row>
    <row r="484" spans="1:21" x14ac:dyDescent="0.35">
      <c r="A484" s="12" t="s">
        <v>597</v>
      </c>
      <c r="B484" s="12" t="str">
        <f t="shared" si="7"/>
        <v>December</v>
      </c>
      <c r="C484" s="13">
        <v>45278</v>
      </c>
      <c r="D484" s="14" t="s">
        <v>101</v>
      </c>
      <c r="E484" s="14" t="s">
        <v>58</v>
      </c>
      <c r="F484" s="14" t="s">
        <v>134</v>
      </c>
      <c r="G484" s="14" t="s">
        <v>49</v>
      </c>
      <c r="H484" s="14" t="s">
        <v>68</v>
      </c>
      <c r="I484" s="14" t="s">
        <v>65</v>
      </c>
      <c r="J484" s="14" t="s">
        <v>95</v>
      </c>
      <c r="K484" s="12">
        <v>2</v>
      </c>
      <c r="L484" s="15">
        <v>2746</v>
      </c>
      <c r="M484" s="15">
        <v>5492</v>
      </c>
      <c r="N484" s="16">
        <v>20</v>
      </c>
      <c r="O484" s="15">
        <v>1098</v>
      </c>
      <c r="P484" s="15">
        <v>4394</v>
      </c>
      <c r="Q484" s="15">
        <v>2002</v>
      </c>
      <c r="R484" s="15">
        <v>2392</v>
      </c>
      <c r="S484" s="12">
        <v>1</v>
      </c>
      <c r="T484" s="15">
        <v>2197</v>
      </c>
      <c r="U484" s="17">
        <v>4.0999999999999996</v>
      </c>
    </row>
    <row r="485" spans="1:21" x14ac:dyDescent="0.35">
      <c r="A485" s="18" t="s">
        <v>598</v>
      </c>
      <c r="B485" s="12" t="str">
        <f t="shared" si="7"/>
        <v>December</v>
      </c>
      <c r="C485" s="19">
        <v>45280</v>
      </c>
      <c r="D485" s="20" t="s">
        <v>122</v>
      </c>
      <c r="E485" s="20" t="s">
        <v>52</v>
      </c>
      <c r="F485" s="20" t="s">
        <v>108</v>
      </c>
      <c r="G485" s="20" t="s">
        <v>55</v>
      </c>
      <c r="H485" s="20" t="s">
        <v>66</v>
      </c>
      <c r="I485" s="20" t="s">
        <v>67</v>
      </c>
      <c r="J485" s="20" t="s">
        <v>99</v>
      </c>
      <c r="K485" s="18">
        <v>15</v>
      </c>
      <c r="L485" s="21">
        <v>2732</v>
      </c>
      <c r="M485" s="21">
        <v>40980</v>
      </c>
      <c r="N485" s="22">
        <v>5</v>
      </c>
      <c r="O485" s="21">
        <v>2049</v>
      </c>
      <c r="P485" s="21">
        <v>38931</v>
      </c>
      <c r="Q485" s="21">
        <v>19932</v>
      </c>
      <c r="R485" s="21">
        <v>18999</v>
      </c>
      <c r="S485" s="18">
        <v>0</v>
      </c>
      <c r="T485" s="21">
        <v>0</v>
      </c>
      <c r="U485" s="23">
        <v>3.3</v>
      </c>
    </row>
    <row r="486" spans="1:21" x14ac:dyDescent="0.35">
      <c r="A486" s="12" t="s">
        <v>599</v>
      </c>
      <c r="B486" s="12" t="str">
        <f t="shared" si="7"/>
        <v>December</v>
      </c>
      <c r="C486" s="13">
        <v>45280</v>
      </c>
      <c r="D486" s="14" t="s">
        <v>93</v>
      </c>
      <c r="E486" s="14" t="s">
        <v>50</v>
      </c>
      <c r="F486" s="14" t="s">
        <v>124</v>
      </c>
      <c r="G486" s="14" t="s">
        <v>55</v>
      </c>
      <c r="H486" s="14" t="s">
        <v>64</v>
      </c>
      <c r="I486" s="14" t="s">
        <v>69</v>
      </c>
      <c r="J486" s="14" t="s">
        <v>99</v>
      </c>
      <c r="K486" s="12">
        <v>4</v>
      </c>
      <c r="L486" s="15">
        <v>2200</v>
      </c>
      <c r="M486" s="15">
        <v>8800</v>
      </c>
      <c r="N486" s="16">
        <v>15</v>
      </c>
      <c r="O486" s="15">
        <v>1320</v>
      </c>
      <c r="P486" s="15">
        <v>7480</v>
      </c>
      <c r="Q486" s="15">
        <v>3939</v>
      </c>
      <c r="R486" s="15">
        <v>3541</v>
      </c>
      <c r="S486" s="12">
        <v>1</v>
      </c>
      <c r="T486" s="15">
        <v>1870</v>
      </c>
      <c r="U486" s="17">
        <v>3.7</v>
      </c>
    </row>
    <row r="487" spans="1:21" x14ac:dyDescent="0.35">
      <c r="A487" s="18" t="s">
        <v>600</v>
      </c>
      <c r="B487" s="12" t="str">
        <f t="shared" si="7"/>
        <v>December</v>
      </c>
      <c r="C487" s="19">
        <v>45280</v>
      </c>
      <c r="D487" s="20" t="s">
        <v>115</v>
      </c>
      <c r="E487" s="20" t="s">
        <v>52</v>
      </c>
      <c r="F487" s="20" t="s">
        <v>106</v>
      </c>
      <c r="G487" s="20" t="s">
        <v>51</v>
      </c>
      <c r="H487" s="20" t="s">
        <v>66</v>
      </c>
      <c r="I487" s="20" t="s">
        <v>65</v>
      </c>
      <c r="J487" s="20" t="s">
        <v>99</v>
      </c>
      <c r="K487" s="18">
        <v>12</v>
      </c>
      <c r="L487" s="21">
        <v>3070</v>
      </c>
      <c r="M487" s="21">
        <v>36840</v>
      </c>
      <c r="N487" s="22">
        <v>50</v>
      </c>
      <c r="O487" s="21">
        <v>18420</v>
      </c>
      <c r="P487" s="21">
        <v>18420</v>
      </c>
      <c r="Q487" s="21">
        <v>11037</v>
      </c>
      <c r="R487" s="21">
        <v>7383</v>
      </c>
      <c r="S487" s="18">
        <v>0</v>
      </c>
      <c r="T487" s="21">
        <v>0</v>
      </c>
      <c r="U487" s="23">
        <v>4.5999999999999996</v>
      </c>
    </row>
    <row r="488" spans="1:21" x14ac:dyDescent="0.35">
      <c r="A488" s="12" t="s">
        <v>601</v>
      </c>
      <c r="B488" s="12" t="str">
        <f t="shared" si="7"/>
        <v>December</v>
      </c>
      <c r="C488" s="13">
        <v>45280</v>
      </c>
      <c r="D488" s="14" t="s">
        <v>131</v>
      </c>
      <c r="E488" s="14" t="s">
        <v>48</v>
      </c>
      <c r="F488" s="14" t="s">
        <v>111</v>
      </c>
      <c r="G488" s="14" t="s">
        <v>53</v>
      </c>
      <c r="H488" s="14" t="s">
        <v>64</v>
      </c>
      <c r="I488" s="14" t="s">
        <v>65</v>
      </c>
      <c r="J488" s="14" t="s">
        <v>95</v>
      </c>
      <c r="K488" s="12">
        <v>5</v>
      </c>
      <c r="L488" s="15">
        <v>2254</v>
      </c>
      <c r="M488" s="15">
        <v>11270</v>
      </c>
      <c r="N488" s="16">
        <v>5</v>
      </c>
      <c r="O488" s="15">
        <v>564</v>
      </c>
      <c r="P488" s="15">
        <v>10706</v>
      </c>
      <c r="Q488" s="15">
        <v>5128</v>
      </c>
      <c r="R488" s="15">
        <v>5578</v>
      </c>
      <c r="S488" s="12">
        <v>0</v>
      </c>
      <c r="T488" s="15">
        <v>0</v>
      </c>
      <c r="U488" s="17">
        <v>3.4</v>
      </c>
    </row>
    <row r="489" spans="1:21" x14ac:dyDescent="0.35">
      <c r="A489" s="18" t="s">
        <v>602</v>
      </c>
      <c r="B489" s="12" t="str">
        <f t="shared" si="7"/>
        <v>December</v>
      </c>
      <c r="C489" s="19">
        <v>45280</v>
      </c>
      <c r="D489" s="20" t="s">
        <v>105</v>
      </c>
      <c r="E489" s="20" t="s">
        <v>59</v>
      </c>
      <c r="F489" s="20" t="s">
        <v>116</v>
      </c>
      <c r="G489" s="20" t="s">
        <v>55</v>
      </c>
      <c r="H489" s="20" t="s">
        <v>68</v>
      </c>
      <c r="I489" s="20" t="s">
        <v>69</v>
      </c>
      <c r="J489" s="20" t="s">
        <v>103</v>
      </c>
      <c r="K489" s="18">
        <v>5</v>
      </c>
      <c r="L489" s="21">
        <v>2529</v>
      </c>
      <c r="M489" s="21">
        <v>12645</v>
      </c>
      <c r="N489" s="22">
        <v>10</v>
      </c>
      <c r="O489" s="21">
        <v>1264</v>
      </c>
      <c r="P489" s="21">
        <v>11381</v>
      </c>
      <c r="Q489" s="21">
        <v>5706</v>
      </c>
      <c r="R489" s="21">
        <v>5675</v>
      </c>
      <c r="S489" s="18">
        <v>0</v>
      </c>
      <c r="T489" s="21">
        <v>0</v>
      </c>
      <c r="U489" s="23">
        <v>3.3</v>
      </c>
    </row>
    <row r="490" spans="1:21" x14ac:dyDescent="0.35">
      <c r="A490" s="12" t="s">
        <v>603</v>
      </c>
      <c r="B490" s="12" t="str">
        <f t="shared" si="7"/>
        <v>December</v>
      </c>
      <c r="C490" s="13">
        <v>45282</v>
      </c>
      <c r="D490" s="14" t="s">
        <v>113</v>
      </c>
      <c r="E490" s="14" t="s">
        <v>48</v>
      </c>
      <c r="F490" s="14" t="s">
        <v>111</v>
      </c>
      <c r="G490" s="14" t="s">
        <v>57</v>
      </c>
      <c r="H490" s="14" t="s">
        <v>66</v>
      </c>
      <c r="I490" s="14" t="s">
        <v>67</v>
      </c>
      <c r="J490" s="14" t="s">
        <v>99</v>
      </c>
      <c r="K490" s="12">
        <v>7</v>
      </c>
      <c r="L490" s="15">
        <v>1092</v>
      </c>
      <c r="M490" s="15">
        <v>7644</v>
      </c>
      <c r="N490" s="16">
        <v>25</v>
      </c>
      <c r="O490" s="15">
        <v>1911</v>
      </c>
      <c r="P490" s="15">
        <v>5733</v>
      </c>
      <c r="Q490" s="15">
        <v>2933</v>
      </c>
      <c r="R490" s="15">
        <v>2800</v>
      </c>
      <c r="S490" s="12">
        <v>0</v>
      </c>
      <c r="T490" s="15">
        <v>0</v>
      </c>
      <c r="U490" s="17">
        <v>4.3</v>
      </c>
    </row>
    <row r="491" spans="1:21" x14ac:dyDescent="0.35">
      <c r="A491" s="18" t="s">
        <v>604</v>
      </c>
      <c r="B491" s="12" t="str">
        <f t="shared" si="7"/>
        <v>December</v>
      </c>
      <c r="C491" s="19">
        <v>45282</v>
      </c>
      <c r="D491" s="20" t="s">
        <v>122</v>
      </c>
      <c r="E491" s="20" t="s">
        <v>48</v>
      </c>
      <c r="F491" s="20" t="s">
        <v>108</v>
      </c>
      <c r="G491" s="20" t="s">
        <v>57</v>
      </c>
      <c r="H491" s="20" t="s">
        <v>68</v>
      </c>
      <c r="I491" s="20" t="s">
        <v>69</v>
      </c>
      <c r="J491" s="20" t="s">
        <v>103</v>
      </c>
      <c r="K491" s="18">
        <v>8</v>
      </c>
      <c r="L491" s="21">
        <v>3016</v>
      </c>
      <c r="M491" s="21">
        <v>24128</v>
      </c>
      <c r="N491" s="22">
        <v>0</v>
      </c>
      <c r="O491" s="21">
        <v>0</v>
      </c>
      <c r="P491" s="21">
        <v>24128</v>
      </c>
      <c r="Q491" s="21">
        <v>14817</v>
      </c>
      <c r="R491" s="21">
        <v>9311</v>
      </c>
      <c r="S491" s="18">
        <v>1</v>
      </c>
      <c r="T491" s="21">
        <v>3016</v>
      </c>
      <c r="U491" s="23">
        <v>4.5</v>
      </c>
    </row>
    <row r="492" spans="1:21" x14ac:dyDescent="0.35">
      <c r="A492" s="12" t="s">
        <v>605</v>
      </c>
      <c r="B492" s="12" t="str">
        <f t="shared" si="7"/>
        <v>December</v>
      </c>
      <c r="C492" s="13">
        <v>45283</v>
      </c>
      <c r="D492" s="14" t="s">
        <v>115</v>
      </c>
      <c r="E492" s="14" t="s">
        <v>59</v>
      </c>
      <c r="F492" s="14" t="s">
        <v>134</v>
      </c>
      <c r="G492" s="14" t="s">
        <v>55</v>
      </c>
      <c r="H492" s="14" t="s">
        <v>68</v>
      </c>
      <c r="I492" s="14" t="s">
        <v>69</v>
      </c>
      <c r="J492" s="14" t="s">
        <v>99</v>
      </c>
      <c r="K492" s="12">
        <v>5</v>
      </c>
      <c r="L492" s="15">
        <v>3840</v>
      </c>
      <c r="M492" s="15">
        <v>19200</v>
      </c>
      <c r="N492" s="16">
        <v>30</v>
      </c>
      <c r="O492" s="15">
        <v>5760</v>
      </c>
      <c r="P492" s="15">
        <v>13440</v>
      </c>
      <c r="Q492" s="15">
        <v>7856</v>
      </c>
      <c r="R492" s="15">
        <v>5584</v>
      </c>
      <c r="S492" s="12">
        <v>0</v>
      </c>
      <c r="T492" s="15">
        <v>0</v>
      </c>
      <c r="U492" s="17">
        <v>3.7</v>
      </c>
    </row>
    <row r="493" spans="1:21" x14ac:dyDescent="0.35">
      <c r="A493" s="18" t="s">
        <v>606</v>
      </c>
      <c r="B493" s="12" t="str">
        <f t="shared" si="7"/>
        <v>December</v>
      </c>
      <c r="C493" s="19">
        <v>45283</v>
      </c>
      <c r="D493" s="20" t="s">
        <v>93</v>
      </c>
      <c r="E493" s="20" t="s">
        <v>50</v>
      </c>
      <c r="F493" s="20" t="s">
        <v>111</v>
      </c>
      <c r="G493" s="20" t="s">
        <v>51</v>
      </c>
      <c r="H493" s="20" t="s">
        <v>64</v>
      </c>
      <c r="I493" s="20" t="s">
        <v>65</v>
      </c>
      <c r="J493" s="20" t="s">
        <v>95</v>
      </c>
      <c r="K493" s="18">
        <v>5</v>
      </c>
      <c r="L493" s="21">
        <v>1246</v>
      </c>
      <c r="M493" s="21">
        <v>6230</v>
      </c>
      <c r="N493" s="22">
        <v>15</v>
      </c>
      <c r="O493" s="21">
        <v>934</v>
      </c>
      <c r="P493" s="21">
        <v>5296</v>
      </c>
      <c r="Q493" s="21">
        <v>3556</v>
      </c>
      <c r="R493" s="21">
        <v>1740</v>
      </c>
      <c r="S493" s="18">
        <v>1</v>
      </c>
      <c r="T493" s="21">
        <v>1059</v>
      </c>
      <c r="U493" s="23">
        <v>4.8</v>
      </c>
    </row>
    <row r="494" spans="1:21" x14ac:dyDescent="0.35">
      <c r="A494" s="12" t="s">
        <v>607</v>
      </c>
      <c r="B494" s="12" t="str">
        <f t="shared" si="7"/>
        <v>December</v>
      </c>
      <c r="C494" s="13">
        <v>45283</v>
      </c>
      <c r="D494" s="14" t="s">
        <v>131</v>
      </c>
      <c r="E494" s="14" t="s">
        <v>48</v>
      </c>
      <c r="F494" s="14" t="s">
        <v>102</v>
      </c>
      <c r="G494" s="14" t="s">
        <v>53</v>
      </c>
      <c r="H494" s="14" t="s">
        <v>66</v>
      </c>
      <c r="I494" s="14" t="s">
        <v>67</v>
      </c>
      <c r="J494" s="14" t="s">
        <v>99</v>
      </c>
      <c r="K494" s="12">
        <v>4</v>
      </c>
      <c r="L494" s="15">
        <v>750</v>
      </c>
      <c r="M494" s="15">
        <v>3000</v>
      </c>
      <c r="N494" s="16">
        <v>30</v>
      </c>
      <c r="O494" s="15">
        <v>900</v>
      </c>
      <c r="P494" s="15">
        <v>2100</v>
      </c>
      <c r="Q494" s="15">
        <v>1245</v>
      </c>
      <c r="R494" s="15">
        <v>855</v>
      </c>
      <c r="S494" s="12">
        <v>1</v>
      </c>
      <c r="T494" s="15">
        <v>525</v>
      </c>
      <c r="U494" s="17">
        <v>2.9</v>
      </c>
    </row>
    <row r="495" spans="1:21" x14ac:dyDescent="0.35">
      <c r="A495" s="18" t="s">
        <v>608</v>
      </c>
      <c r="B495" s="12" t="str">
        <f t="shared" si="7"/>
        <v>December</v>
      </c>
      <c r="C495" s="19">
        <v>45283</v>
      </c>
      <c r="D495" s="20" t="s">
        <v>105</v>
      </c>
      <c r="E495" s="20" t="s">
        <v>56</v>
      </c>
      <c r="F495" s="20" t="s">
        <v>98</v>
      </c>
      <c r="G495" s="20" t="s">
        <v>51</v>
      </c>
      <c r="H495" s="20" t="s">
        <v>64</v>
      </c>
      <c r="I495" s="20" t="s">
        <v>67</v>
      </c>
      <c r="J495" s="20" t="s">
        <v>103</v>
      </c>
      <c r="K495" s="18">
        <v>8</v>
      </c>
      <c r="L495" s="21">
        <v>3937</v>
      </c>
      <c r="M495" s="21">
        <v>31496</v>
      </c>
      <c r="N495" s="22">
        <v>25</v>
      </c>
      <c r="O495" s="21">
        <v>7874</v>
      </c>
      <c r="P495" s="21">
        <v>23622</v>
      </c>
      <c r="Q495" s="21">
        <v>12221</v>
      </c>
      <c r="R495" s="21">
        <v>11401</v>
      </c>
      <c r="S495" s="18">
        <v>1</v>
      </c>
      <c r="T495" s="21">
        <v>2953</v>
      </c>
      <c r="U495" s="23">
        <v>4</v>
      </c>
    </row>
    <row r="496" spans="1:21" x14ac:dyDescent="0.35">
      <c r="A496" s="12" t="s">
        <v>609</v>
      </c>
      <c r="B496" s="12" t="str">
        <f t="shared" si="7"/>
        <v>December</v>
      </c>
      <c r="C496" s="13">
        <v>45285</v>
      </c>
      <c r="D496" s="14" t="s">
        <v>115</v>
      </c>
      <c r="E496" s="14" t="s">
        <v>56</v>
      </c>
      <c r="F496" s="14" t="s">
        <v>102</v>
      </c>
      <c r="G496" s="14" t="s">
        <v>53</v>
      </c>
      <c r="H496" s="14" t="s">
        <v>66</v>
      </c>
      <c r="I496" s="14" t="s">
        <v>71</v>
      </c>
      <c r="J496" s="14" t="s">
        <v>99</v>
      </c>
      <c r="K496" s="12">
        <v>12</v>
      </c>
      <c r="L496" s="15">
        <v>3762</v>
      </c>
      <c r="M496" s="15">
        <v>45144</v>
      </c>
      <c r="N496" s="16">
        <v>50</v>
      </c>
      <c r="O496" s="15">
        <v>22572</v>
      </c>
      <c r="P496" s="15">
        <v>22572</v>
      </c>
      <c r="Q496" s="15">
        <v>13727</v>
      </c>
      <c r="R496" s="15">
        <v>8845</v>
      </c>
      <c r="S496" s="12">
        <v>1</v>
      </c>
      <c r="T496" s="15">
        <v>1881</v>
      </c>
      <c r="U496" s="17">
        <v>3</v>
      </c>
    </row>
    <row r="497" spans="1:21" x14ac:dyDescent="0.35">
      <c r="A497" s="18" t="s">
        <v>610</v>
      </c>
      <c r="B497" s="12" t="str">
        <f t="shared" si="7"/>
        <v>December</v>
      </c>
      <c r="C497" s="19">
        <v>45287</v>
      </c>
      <c r="D497" s="20" t="s">
        <v>122</v>
      </c>
      <c r="E497" s="20" t="s">
        <v>58</v>
      </c>
      <c r="F497" s="20" t="s">
        <v>108</v>
      </c>
      <c r="G497" s="20" t="s">
        <v>49</v>
      </c>
      <c r="H497" s="20" t="s">
        <v>66</v>
      </c>
      <c r="I497" s="20" t="s">
        <v>67</v>
      </c>
      <c r="J497" s="20" t="s">
        <v>99</v>
      </c>
      <c r="K497" s="18">
        <v>10</v>
      </c>
      <c r="L497" s="21">
        <v>1337</v>
      </c>
      <c r="M497" s="21">
        <v>13370</v>
      </c>
      <c r="N497" s="22">
        <v>10</v>
      </c>
      <c r="O497" s="21">
        <v>1337</v>
      </c>
      <c r="P497" s="21">
        <v>12033</v>
      </c>
      <c r="Q497" s="21">
        <v>6853</v>
      </c>
      <c r="R497" s="21">
        <v>5180</v>
      </c>
      <c r="S497" s="18">
        <v>1</v>
      </c>
      <c r="T497" s="21">
        <v>1203</v>
      </c>
      <c r="U497" s="23">
        <v>4.4000000000000004</v>
      </c>
    </row>
    <row r="498" spans="1:21" x14ac:dyDescent="0.35">
      <c r="A498" s="12" t="s">
        <v>611</v>
      </c>
      <c r="B498" s="12" t="str">
        <f t="shared" si="7"/>
        <v>December</v>
      </c>
      <c r="C498" s="13">
        <v>45287</v>
      </c>
      <c r="D498" s="14" t="s">
        <v>142</v>
      </c>
      <c r="E498" s="14" t="s">
        <v>52</v>
      </c>
      <c r="F498" s="14" t="s">
        <v>108</v>
      </c>
      <c r="G498" s="14" t="s">
        <v>53</v>
      </c>
      <c r="H498" s="14" t="s">
        <v>68</v>
      </c>
      <c r="I498" s="14" t="s">
        <v>71</v>
      </c>
      <c r="J498" s="14" t="s">
        <v>99</v>
      </c>
      <c r="K498" s="12">
        <v>11</v>
      </c>
      <c r="L498" s="15">
        <v>4637</v>
      </c>
      <c r="M498" s="15">
        <v>51007</v>
      </c>
      <c r="N498" s="16">
        <v>0</v>
      </c>
      <c r="O498" s="15">
        <v>0</v>
      </c>
      <c r="P498" s="15">
        <v>51007</v>
      </c>
      <c r="Q498" s="15">
        <v>26038</v>
      </c>
      <c r="R498" s="15">
        <v>24969</v>
      </c>
      <c r="S498" s="12">
        <v>1</v>
      </c>
      <c r="T498" s="15">
        <v>4637</v>
      </c>
      <c r="U498" s="17">
        <v>4</v>
      </c>
    </row>
    <row r="499" spans="1:21" x14ac:dyDescent="0.35">
      <c r="A499" s="18" t="s">
        <v>612</v>
      </c>
      <c r="B499" s="12" t="str">
        <f t="shared" si="7"/>
        <v>December</v>
      </c>
      <c r="C499" s="19">
        <v>45288</v>
      </c>
      <c r="D499" s="20" t="s">
        <v>93</v>
      </c>
      <c r="E499" s="20" t="s">
        <v>54</v>
      </c>
      <c r="F499" s="20" t="s">
        <v>116</v>
      </c>
      <c r="G499" s="20" t="s">
        <v>57</v>
      </c>
      <c r="H499" s="20" t="s">
        <v>68</v>
      </c>
      <c r="I499" s="20" t="s">
        <v>67</v>
      </c>
      <c r="J499" s="20" t="s">
        <v>103</v>
      </c>
      <c r="K499" s="18">
        <v>10</v>
      </c>
      <c r="L499" s="21">
        <v>4976</v>
      </c>
      <c r="M499" s="21">
        <v>49760</v>
      </c>
      <c r="N499" s="22">
        <v>25</v>
      </c>
      <c r="O499" s="21">
        <v>12440</v>
      </c>
      <c r="P499" s="21">
        <v>37320</v>
      </c>
      <c r="Q499" s="21">
        <v>25444</v>
      </c>
      <c r="R499" s="21">
        <v>11876</v>
      </c>
      <c r="S499" s="18">
        <v>2</v>
      </c>
      <c r="T499" s="21">
        <v>7464</v>
      </c>
      <c r="U499" s="23">
        <v>3.9</v>
      </c>
    </row>
    <row r="500" spans="1:21" x14ac:dyDescent="0.35">
      <c r="A500" s="12" t="s">
        <v>613</v>
      </c>
      <c r="B500" s="12" t="str">
        <f t="shared" si="7"/>
        <v>December</v>
      </c>
      <c r="C500" s="13">
        <v>45290</v>
      </c>
      <c r="D500" s="14" t="s">
        <v>131</v>
      </c>
      <c r="E500" s="14" t="s">
        <v>59</v>
      </c>
      <c r="F500" s="14" t="s">
        <v>108</v>
      </c>
      <c r="G500" s="14" t="s">
        <v>55</v>
      </c>
      <c r="H500" s="14" t="s">
        <v>64</v>
      </c>
      <c r="I500" s="14" t="s">
        <v>65</v>
      </c>
      <c r="J500" s="14" t="s">
        <v>95</v>
      </c>
      <c r="K500" s="12">
        <v>6</v>
      </c>
      <c r="L500" s="15">
        <v>2423</v>
      </c>
      <c r="M500" s="15">
        <v>14538</v>
      </c>
      <c r="N500" s="16">
        <v>20</v>
      </c>
      <c r="O500" s="15">
        <v>2908</v>
      </c>
      <c r="P500" s="15">
        <v>11630</v>
      </c>
      <c r="Q500" s="15">
        <v>5862</v>
      </c>
      <c r="R500" s="15">
        <v>5768</v>
      </c>
      <c r="S500" s="12">
        <v>1</v>
      </c>
      <c r="T500" s="15">
        <v>1938</v>
      </c>
      <c r="U500" s="17">
        <v>2.9</v>
      </c>
    </row>
    <row r="501" spans="1:21" x14ac:dyDescent="0.35">
      <c r="A501" s="18" t="s">
        <v>614</v>
      </c>
      <c r="B501" s="12" t="str">
        <f t="shared" si="7"/>
        <v>December</v>
      </c>
      <c r="C501" s="19">
        <v>45291</v>
      </c>
      <c r="D501" s="20" t="s">
        <v>97</v>
      </c>
      <c r="E501" s="20" t="s">
        <v>52</v>
      </c>
      <c r="F501" s="20" t="s">
        <v>124</v>
      </c>
      <c r="G501" s="20" t="s">
        <v>49</v>
      </c>
      <c r="H501" s="20" t="s">
        <v>68</v>
      </c>
      <c r="I501" s="20" t="s">
        <v>67</v>
      </c>
      <c r="J501" s="20" t="s">
        <v>103</v>
      </c>
      <c r="K501" s="18">
        <v>11</v>
      </c>
      <c r="L501" s="21">
        <v>4563</v>
      </c>
      <c r="M501" s="21">
        <v>50193</v>
      </c>
      <c r="N501" s="22">
        <v>10</v>
      </c>
      <c r="O501" s="21">
        <v>5019</v>
      </c>
      <c r="P501" s="21">
        <v>45174</v>
      </c>
      <c r="Q501" s="21">
        <v>28441</v>
      </c>
      <c r="R501" s="21">
        <v>16733</v>
      </c>
      <c r="S501" s="18">
        <v>0</v>
      </c>
      <c r="T501" s="21">
        <v>0</v>
      </c>
      <c r="U501" s="23">
        <v>2.7</v>
      </c>
    </row>
  </sheetData>
  <autoFilter ref="A1:U501" xr:uid="{00000000-0009-0000-0000-000001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0"/>
  <sheetViews>
    <sheetView zoomScale="74" zoomScaleNormal="100" workbookViewId="0">
      <pane ySplit="5" topLeftCell="A6" activePane="bottomLeft" state="frozen"/>
      <selection pane="bottomLeft" activeCell="J10" sqref="I10:K11"/>
    </sheetView>
  </sheetViews>
  <sheetFormatPr defaultColWidth="8.6328125" defaultRowHeight="14.5" x14ac:dyDescent="0.35"/>
  <cols>
    <col min="1" max="20" width="9.54296875" customWidth="1"/>
  </cols>
  <sheetData>
    <row r="1" spans="1:22" ht="34.5" customHeight="1" x14ac:dyDescent="0.35">
      <c r="A1" s="91" t="s">
        <v>0</v>
      </c>
      <c r="B1" s="91"/>
      <c r="C1" s="91"/>
      <c r="D1" s="91"/>
      <c r="E1" s="91"/>
      <c r="F1" s="91"/>
      <c r="G1" s="91"/>
      <c r="H1" s="91"/>
      <c r="I1" s="91"/>
      <c r="J1" s="91"/>
      <c r="K1" s="91"/>
      <c r="L1" s="91"/>
      <c r="M1" s="91"/>
      <c r="N1" s="91"/>
      <c r="O1" s="91"/>
      <c r="P1" s="91"/>
      <c r="Q1" s="91"/>
      <c r="R1" s="91"/>
      <c r="S1" s="91"/>
      <c r="T1" s="91"/>
    </row>
    <row r="2" spans="1:22" ht="4.5" customHeight="1" x14ac:dyDescent="0.35">
      <c r="A2" s="91"/>
      <c r="B2" s="91"/>
      <c r="C2" s="91"/>
      <c r="D2" s="91"/>
      <c r="E2" s="91"/>
      <c r="F2" s="91"/>
      <c r="G2" s="91"/>
      <c r="H2" s="91"/>
      <c r="I2" s="91"/>
      <c r="J2" s="91"/>
      <c r="K2" s="91"/>
      <c r="L2" s="91"/>
      <c r="M2" s="91"/>
      <c r="N2" s="91"/>
      <c r="O2" s="91"/>
      <c r="P2" s="91"/>
      <c r="Q2" s="91"/>
      <c r="R2" s="91"/>
      <c r="S2" s="91"/>
      <c r="T2" s="91"/>
    </row>
    <row r="3" spans="1:22" ht="21.75" customHeight="1" x14ac:dyDescent="0.35">
      <c r="A3" s="92" t="s">
        <v>1</v>
      </c>
      <c r="B3" s="92"/>
      <c r="C3" s="92"/>
      <c r="D3" s="92"/>
      <c r="E3" s="92"/>
      <c r="F3" s="92"/>
      <c r="G3" s="92"/>
      <c r="H3" s="92"/>
      <c r="I3" s="92"/>
      <c r="J3" s="92"/>
      <c r="K3" s="92"/>
      <c r="L3" s="92"/>
      <c r="M3" s="92"/>
      <c r="N3" s="92"/>
      <c r="O3" s="92"/>
      <c r="P3" s="92"/>
      <c r="Q3" s="92"/>
      <c r="R3" s="92"/>
      <c r="S3" s="92"/>
      <c r="T3" s="92"/>
    </row>
    <row r="4" spans="1:22" ht="7.5" customHeight="1" x14ac:dyDescent="0.35">
      <c r="A4" s="1"/>
      <c r="B4" s="1"/>
      <c r="C4" s="1"/>
      <c r="D4" s="1"/>
      <c r="E4" s="1"/>
      <c r="F4" s="1"/>
      <c r="G4" s="1"/>
      <c r="H4" s="1"/>
      <c r="I4" s="1"/>
      <c r="J4" s="1"/>
      <c r="K4" s="1"/>
      <c r="L4" s="1"/>
      <c r="M4" s="1"/>
      <c r="N4" s="1"/>
      <c r="O4" s="1"/>
      <c r="P4" s="1"/>
      <c r="Q4" s="1"/>
      <c r="R4" s="1"/>
      <c r="S4" s="1"/>
      <c r="T4" s="1"/>
    </row>
    <row r="5" spans="1:22" ht="19.5" customHeight="1" x14ac:dyDescent="0.35">
      <c r="A5" s="61" t="s">
        <v>2</v>
      </c>
      <c r="B5" s="61"/>
      <c r="C5" s="61"/>
      <c r="D5" s="61"/>
      <c r="E5" s="61"/>
      <c r="F5" s="61"/>
      <c r="G5" s="61"/>
      <c r="H5" s="61"/>
      <c r="I5" s="61"/>
      <c r="J5" s="61"/>
      <c r="K5" s="61"/>
      <c r="L5" s="61"/>
      <c r="M5" s="61"/>
      <c r="N5" s="61"/>
      <c r="O5" s="61"/>
      <c r="P5" s="61"/>
      <c r="Q5" s="61"/>
      <c r="R5" s="61"/>
      <c r="S5" s="61"/>
      <c r="T5" s="61"/>
    </row>
    <row r="6" spans="1:22" ht="18" customHeight="1" x14ac:dyDescent="0.35">
      <c r="A6" s="90" t="s">
        <v>3</v>
      </c>
      <c r="B6" s="90"/>
      <c r="C6" s="1"/>
      <c r="D6" s="85" t="s">
        <v>4</v>
      </c>
      <c r="E6" s="85"/>
      <c r="F6" s="1"/>
      <c r="G6" s="84" t="s">
        <v>5</v>
      </c>
      <c r="H6" s="84"/>
      <c r="I6" s="1"/>
      <c r="J6" s="89" t="s">
        <v>6</v>
      </c>
      <c r="K6" s="89"/>
      <c r="L6" s="1"/>
      <c r="M6" s="88" t="s">
        <v>7</v>
      </c>
      <c r="N6" s="88"/>
      <c r="O6" s="1"/>
      <c r="P6" s="87" t="s">
        <v>8</v>
      </c>
      <c r="Q6" s="87"/>
      <c r="R6" s="1"/>
      <c r="S6" s="86" t="s">
        <v>9</v>
      </c>
      <c r="T6" s="86"/>
    </row>
    <row r="7" spans="1:22" ht="27.75" customHeight="1" x14ac:dyDescent="0.35">
      <c r="A7" s="81">
        <f>SUM('Raw Data'!M:M)</f>
        <v>10641857</v>
      </c>
      <c r="B7" s="81"/>
      <c r="C7" s="1"/>
      <c r="D7" s="81">
        <f>SUM('Raw Data'!P:P)</f>
        <v>8454342</v>
      </c>
      <c r="E7" s="81"/>
      <c r="F7" s="1"/>
      <c r="G7" s="81">
        <f>SUM('Raw Data'!R:R)</f>
        <v>3599485</v>
      </c>
      <c r="H7" s="81"/>
      <c r="I7" s="1"/>
      <c r="J7" s="82">
        <f>COUNTA('Raw Data'!A:A)-1</f>
        <v>500</v>
      </c>
      <c r="K7" s="82"/>
      <c r="L7" s="1"/>
      <c r="M7" s="82">
        <f>SUM('Raw Data'!K:K)</f>
        <v>3897</v>
      </c>
      <c r="N7" s="82"/>
      <c r="O7" s="1"/>
      <c r="P7" s="82">
        <f>SUM('Raw Data'!S:S)</f>
        <v>472</v>
      </c>
      <c r="Q7" s="82"/>
      <c r="R7" s="1"/>
      <c r="S7" s="83">
        <f>AVERAGE('Raw Data'!U:U)</f>
        <v>3.7241999999999993</v>
      </c>
      <c r="T7" s="83"/>
    </row>
    <row r="8" spans="1:22" ht="27.75" customHeight="1" x14ac:dyDescent="0.35">
      <c r="A8" s="81"/>
      <c r="B8" s="81"/>
      <c r="C8" s="1"/>
      <c r="D8" s="81"/>
      <c r="E8" s="81"/>
      <c r="F8" s="1"/>
      <c r="G8" s="81"/>
      <c r="H8" s="81"/>
      <c r="I8" s="1"/>
      <c r="J8" s="82"/>
      <c r="K8" s="82"/>
      <c r="L8" s="1"/>
      <c r="M8" s="82"/>
      <c r="N8" s="82"/>
      <c r="O8" s="1"/>
      <c r="P8" s="82"/>
      <c r="Q8" s="82"/>
      <c r="R8" s="1"/>
      <c r="S8" s="83"/>
      <c r="T8" s="83"/>
    </row>
    <row r="9" spans="1:22" ht="18" customHeight="1" x14ac:dyDescent="0.35">
      <c r="A9" s="84" t="s">
        <v>10</v>
      </c>
      <c r="B9" s="84"/>
      <c r="C9" s="1"/>
      <c r="D9" s="85" t="s">
        <v>11</v>
      </c>
      <c r="E9" s="85"/>
      <c r="F9" s="1"/>
      <c r="G9" s="86" t="s">
        <v>12</v>
      </c>
      <c r="H9" s="86"/>
      <c r="I9" s="1"/>
      <c r="J9" s="87" t="s">
        <v>13</v>
      </c>
      <c r="K9" s="87"/>
      <c r="L9" s="1"/>
      <c r="M9" s="88" t="s">
        <v>14</v>
      </c>
      <c r="N9" s="88"/>
      <c r="O9" s="1"/>
      <c r="P9" s="89" t="s">
        <v>15</v>
      </c>
      <c r="Q9" s="89"/>
      <c r="R9" s="1"/>
      <c r="S9" s="90" t="s">
        <v>16</v>
      </c>
      <c r="T9" s="90"/>
    </row>
    <row r="10" spans="1:22" ht="24.75" customHeight="1" x14ac:dyDescent="0.35">
      <c r="A10" s="77">
        <f>SUM('Raw Data'!R:R)/SUM('Raw Data'!M:M)</f>
        <v>0.3382384296274607</v>
      </c>
      <c r="B10" s="77"/>
      <c r="C10" s="1"/>
      <c r="D10" s="78">
        <f>SUM('Raw Data'!P:P)/(COUNTA('Raw Data'!A:A)-1)</f>
        <v>16908.684000000001</v>
      </c>
      <c r="E10" s="78"/>
      <c r="F10" s="1"/>
      <c r="G10" s="77">
        <f>SUM('Raw Data'!S:S)/(COUNTA('Raw Data'!A:A)-1)</f>
        <v>0.94399999999999995</v>
      </c>
      <c r="H10" s="77"/>
      <c r="I10" s="1"/>
      <c r="J10" s="78">
        <f>SUM('Raw Data'!O:O)</f>
        <v>2187515</v>
      </c>
      <c r="K10" s="78"/>
      <c r="L10" s="1"/>
      <c r="M10" s="79">
        <f>SUM('Raw Data'!K:K)/(COUNTA('Raw Data'!A:A)-1)</f>
        <v>7.7939999999999996</v>
      </c>
      <c r="N10" s="79"/>
      <c r="O10" s="1"/>
      <c r="P10" s="77">
        <f>SUM('Raw Data'!Q:Q)/SUM('Raw Data'!M:M)</f>
        <v>0.4562039313251437</v>
      </c>
      <c r="Q10" s="77"/>
      <c r="R10" s="1"/>
      <c r="S10" s="77">
        <f>SUM('Raw Data'!P:P)/SUM('Raw Data'!M:M)</f>
        <v>0.79444236095260445</v>
      </c>
      <c r="T10" s="77"/>
    </row>
    <row r="11" spans="1:22" ht="24.75" customHeight="1" x14ac:dyDescent="0.35">
      <c r="A11" s="77"/>
      <c r="B11" s="77"/>
      <c r="C11" s="1"/>
      <c r="D11" s="78"/>
      <c r="E11" s="78"/>
      <c r="F11" s="1"/>
      <c r="G11" s="77"/>
      <c r="H11" s="77"/>
      <c r="I11" s="1"/>
      <c r="J11" s="78"/>
      <c r="K11" s="78"/>
      <c r="L11" s="1"/>
      <c r="M11" s="79"/>
      <c r="N11" s="79"/>
      <c r="O11" s="1"/>
      <c r="P11" s="77"/>
      <c r="Q11" s="77"/>
      <c r="R11" s="1"/>
      <c r="S11" s="77"/>
      <c r="T11" s="77"/>
    </row>
    <row r="12" spans="1:22" ht="7.5" customHeight="1" x14ac:dyDescent="0.35">
      <c r="A12" s="1"/>
      <c r="B12" s="1"/>
      <c r="C12" s="1"/>
      <c r="D12" s="1"/>
      <c r="E12" s="1"/>
      <c r="F12" s="1"/>
      <c r="G12" s="1"/>
      <c r="H12" s="1"/>
      <c r="I12" s="1"/>
      <c r="J12" s="1"/>
      <c r="K12" s="1"/>
      <c r="L12" s="1"/>
      <c r="M12" s="1"/>
      <c r="N12" s="1"/>
      <c r="O12" s="1"/>
      <c r="P12" s="1"/>
      <c r="Q12" s="1"/>
      <c r="R12" s="1"/>
      <c r="S12" s="1"/>
      <c r="T12" s="1"/>
    </row>
    <row r="13" spans="1:22" ht="19.5" customHeight="1" x14ac:dyDescent="0.35">
      <c r="A13" s="61" t="s">
        <v>17</v>
      </c>
      <c r="B13" s="61"/>
      <c r="C13" s="61"/>
      <c r="D13" s="61"/>
      <c r="E13" s="61"/>
      <c r="F13" s="61"/>
      <c r="G13" s="61"/>
      <c r="H13" s="61"/>
      <c r="I13" s="61"/>
      <c r="J13" s="61"/>
      <c r="K13" s="61"/>
      <c r="L13" s="61"/>
      <c r="M13" s="61"/>
      <c r="N13" s="61"/>
      <c r="O13" s="61"/>
      <c r="P13" s="61"/>
      <c r="Q13" s="61"/>
      <c r="R13" s="61"/>
      <c r="S13" s="61"/>
      <c r="T13" s="61"/>
      <c r="V13" t="s">
        <v>624</v>
      </c>
    </row>
    <row r="14" spans="1:22" ht="19.5" customHeight="1" x14ac:dyDescent="0.35">
      <c r="A14" s="80" t="s">
        <v>18</v>
      </c>
      <c r="B14" s="80"/>
      <c r="C14" s="80" t="s">
        <v>19</v>
      </c>
      <c r="D14" s="80"/>
      <c r="E14" s="80" t="s">
        <v>20</v>
      </c>
      <c r="F14" s="80"/>
      <c r="G14" s="80" t="s">
        <v>21</v>
      </c>
      <c r="H14" s="80"/>
      <c r="I14" s="80" t="s">
        <v>22</v>
      </c>
      <c r="J14" s="80"/>
      <c r="K14" s="80" t="s">
        <v>23</v>
      </c>
      <c r="L14" s="80"/>
      <c r="M14" s="80" t="s">
        <v>24</v>
      </c>
      <c r="N14" s="80"/>
      <c r="O14" s="80" t="s">
        <v>25</v>
      </c>
      <c r="P14" s="80"/>
      <c r="Q14" s="80" t="s">
        <v>26</v>
      </c>
      <c r="R14" s="80"/>
      <c r="S14" s="80" t="s">
        <v>27</v>
      </c>
      <c r="T14" s="80"/>
    </row>
    <row r="15" spans="1:22" ht="18" customHeight="1" x14ac:dyDescent="0.35">
      <c r="A15" s="76" t="s">
        <v>28</v>
      </c>
      <c r="B15" s="76"/>
      <c r="C15" s="55">
        <f>COUNTIF('Raw Data'!B:B,"JANUARY")</f>
        <v>31</v>
      </c>
      <c r="D15" s="55"/>
      <c r="E15" s="55">
        <f>SUMIF('Raw Data'!B:B,"JANUARY",'Raw Data'!K:K)</f>
        <v>227</v>
      </c>
      <c r="F15" s="55"/>
      <c r="G15" s="56">
        <f>SUMIF('Raw Data'!B:B,"January",'Raw Data'!M:M)</f>
        <v>558337</v>
      </c>
      <c r="H15" s="56"/>
      <c r="I15" s="56">
        <f>SUMIF('Raw Data'!B:B,"January",'Raw Data'!P:P)</f>
        <v>414702</v>
      </c>
      <c r="J15" s="56"/>
      <c r="K15" s="56">
        <f>SUMIF('Raw Data'!B:B,"January",'Raw Data'!R:R)</f>
        <v>179440</v>
      </c>
      <c r="L15" s="56"/>
      <c r="M15" s="58">
        <f>IFERROR(SUMIF('Raw Data'!B:B,"JANUARY",'Raw Data'!R:R)/SUMIF('Raw Data'!B:B,"JANUARY",'Raw Data'!M:M),0)</f>
        <v>0.32138296405217637</v>
      </c>
      <c r="N15" s="58"/>
      <c r="O15" s="55">
        <f>SUMIF('Raw Data'!B:B,"January",'Raw Data'!S:S)</f>
        <v>33</v>
      </c>
      <c r="P15" s="55"/>
      <c r="Q15" s="58" t="s">
        <v>625</v>
      </c>
      <c r="R15" s="58"/>
      <c r="S15" s="73">
        <f>IFERROR(AVERAGEIF('Raw Data'!B:B,"January",'Raw Data'!U:U),0)</f>
        <v>3.9548387096774196</v>
      </c>
      <c r="T15" s="73"/>
    </row>
    <row r="16" spans="1:22" ht="18" customHeight="1" x14ac:dyDescent="0.35">
      <c r="A16" s="74" t="s">
        <v>29</v>
      </c>
      <c r="B16" s="74"/>
      <c r="C16" s="52">
        <f>COUNTIF('Raw Data'!B:B,"February")</f>
        <v>45</v>
      </c>
      <c r="D16" s="52"/>
      <c r="E16" s="52">
        <f>SUMIF('Raw Data'!B:B,"February",'Raw Data'!K:K)</f>
        <v>348</v>
      </c>
      <c r="F16" s="52"/>
      <c r="G16" s="53">
        <f>SUMIF('Raw Data'!B:B,"February",'Raw Data'!M:M)</f>
        <v>920237</v>
      </c>
      <c r="H16" s="53"/>
      <c r="I16" s="53">
        <f>SUMIF('Raw Data'!B:B,"February",'Raw Data'!P:P)</f>
        <v>758573</v>
      </c>
      <c r="J16" s="53"/>
      <c r="K16" s="53">
        <f>SUMIF('Raw Data'!B:B,"February",'Raw Data'!R:R)</f>
        <v>326369</v>
      </c>
      <c r="L16" s="53"/>
      <c r="M16" s="60">
        <f>IFERROR(SUMIF('Raw Data'!B:B,"February",'Raw Data'!R:R)/SUMIF('Raw Data'!B:B,"February",'Raw Data'!M:M),0)</f>
        <v>0.35465755017457462</v>
      </c>
      <c r="N16" s="60"/>
      <c r="O16" s="52">
        <f>SUMIF('Raw Data'!B:B,"February",'Raw Data'!S:S)</f>
        <v>36</v>
      </c>
      <c r="P16" s="52"/>
      <c r="Q16" s="60">
        <f>IFERROR(SUMIF('Raw Data'!B:B,"February",'Raw Data'!S:S)/COUNTIF('Raw Data'!B:B,"February"),0)</f>
        <v>0.8</v>
      </c>
      <c r="R16" s="60"/>
      <c r="S16" s="75">
        <f>IFERROR(AVERAGEIF('Raw Data'!B:B,"February",'Raw Data'!U:U),0)</f>
        <v>3.7511111111111113</v>
      </c>
      <c r="T16" s="75"/>
    </row>
    <row r="17" spans="1:20" ht="18" customHeight="1" x14ac:dyDescent="0.35">
      <c r="A17" s="76" t="s">
        <v>30</v>
      </c>
      <c r="B17" s="76"/>
      <c r="C17" s="55">
        <f>COUNTIF('Raw Data'!B:B,"March")</f>
        <v>32</v>
      </c>
      <c r="D17" s="55"/>
      <c r="E17" s="55">
        <f>SUMIF('Raw Data'!B:B,"March",'Raw Data'!K:K)</f>
        <v>261</v>
      </c>
      <c r="F17" s="55"/>
      <c r="G17" s="56">
        <f>SUMIF('Raw Data'!B:B,"March",'Raw Data'!M:M)</f>
        <v>590233</v>
      </c>
      <c r="H17" s="56"/>
      <c r="I17" s="56">
        <f>SUMIF('Raw Data'!B:B,"March",'Raw Data'!P:P)</f>
        <v>490455</v>
      </c>
      <c r="J17" s="56"/>
      <c r="K17" s="56">
        <f>SUMIF('Raw Data'!B:B,"March",'Raw Data'!R:R)</f>
        <v>210937</v>
      </c>
      <c r="L17" s="56"/>
      <c r="M17" s="58">
        <f>IFERROR(SUMIF('Raw Data'!B:B,"March",'Raw Data'!R:R)/SUMIF('Raw Data'!B:B,"March",'Raw Data'!M:M),0)</f>
        <v>0.35737920448365307</v>
      </c>
      <c r="N17" s="58"/>
      <c r="O17" s="55">
        <f>SUMIF('Raw Data'!B:B,"March",'Raw Data'!S:S)</f>
        <v>25</v>
      </c>
      <c r="P17" s="55"/>
      <c r="Q17" s="58">
        <f>IFERROR(SUMIF('Raw Data'!B:B,"March",'Raw Data'!S:S)/COUNTIF('Raw Data'!B:B,"March"),0)</f>
        <v>0.78125</v>
      </c>
      <c r="R17" s="58"/>
      <c r="S17" s="73">
        <f>IFERROR(AVERAGEIF('Raw Data'!B:B,"March",'Raw Data'!U:U),0)</f>
        <v>3.8843749999999999</v>
      </c>
      <c r="T17" s="73"/>
    </row>
    <row r="18" spans="1:20" ht="18" customHeight="1" x14ac:dyDescent="0.35">
      <c r="A18" s="74" t="s">
        <v>31</v>
      </c>
      <c r="B18" s="74"/>
      <c r="C18" s="52">
        <f>COUNTIF('Raw Data'!B:B,"April")</f>
        <v>41</v>
      </c>
      <c r="D18" s="52"/>
      <c r="E18" s="52">
        <f>SUMIF('Raw Data'!B:B,"April",'Raw Data'!K:K)</f>
        <v>324</v>
      </c>
      <c r="F18" s="52"/>
      <c r="G18" s="53">
        <f>SUMIF('Raw Data'!B:B,"April",'Raw Data'!M:M)</f>
        <v>828538</v>
      </c>
      <c r="H18" s="53"/>
      <c r="I18" s="53">
        <f>SUMIF('Raw Data'!B:B,"April",'Raw Data'!P:P)</f>
        <v>648341</v>
      </c>
      <c r="J18" s="53"/>
      <c r="K18" s="53">
        <f>SUMIF('Raw Data'!B:B,"April",'Raw Data'!R:R)</f>
        <v>260451</v>
      </c>
      <c r="L18" s="53"/>
      <c r="M18" s="60">
        <f>IFERROR(SUMIF('Raw Data'!B:B,"April",'Raw Data'!R:R)/SUMIF('Raw Data'!B:B,"April",'Raw Data'!M:M),0)</f>
        <v>0.3143500961935361</v>
      </c>
      <c r="N18" s="60"/>
      <c r="O18" s="52">
        <f>SUMIF('Raw Data'!B:B,"April",'Raw Data'!S:S)</f>
        <v>39</v>
      </c>
      <c r="P18" s="52"/>
      <c r="Q18" s="60">
        <f>IFERROR(SUMIF('Raw Data'!B:B,"April",'Raw Data'!S:S)/COUNTIF('Raw Data'!B:B,"April"),0)</f>
        <v>0.95121951219512191</v>
      </c>
      <c r="R18" s="60"/>
      <c r="S18" s="75">
        <f>IFERROR(AVERAGEIF('Raw Data'!B:B,"April",'Raw Data'!U:U),0)</f>
        <v>3.7853658536585368</v>
      </c>
      <c r="T18" s="75"/>
    </row>
    <row r="19" spans="1:20" ht="18" customHeight="1" x14ac:dyDescent="0.35">
      <c r="A19" s="76" t="s">
        <v>32</v>
      </c>
      <c r="B19" s="76"/>
      <c r="C19" s="55">
        <f>COUNTIF('Raw Data'!B:B,"May")</f>
        <v>52</v>
      </c>
      <c r="D19" s="55"/>
      <c r="E19" s="55">
        <f>SUMIF('Raw Data'!B:B,"May",'Raw Data'!K:K)</f>
        <v>377</v>
      </c>
      <c r="F19" s="55"/>
      <c r="G19" s="56">
        <f>SUMIF('Raw Data'!B:B,"May",'Raw Data'!M:M)</f>
        <v>1122674</v>
      </c>
      <c r="H19" s="56"/>
      <c r="I19" s="56">
        <f>SUMIF('Raw Data'!B:B,"May",'Raw Data'!P:P)</f>
        <v>893286</v>
      </c>
      <c r="J19" s="56"/>
      <c r="K19" s="56">
        <f>SUMIF('Raw Data'!B:B,"May",'Raw Data'!R:R)</f>
        <v>377564</v>
      </c>
      <c r="L19" s="56"/>
      <c r="M19" s="58">
        <f>IFERROR(SUMIF('Raw Data'!B:B,"May",'Raw Data'!R:R)/SUMIF('Raw Data'!B:B,"May",'Raw Data'!M:M),0)</f>
        <v>0.33630777946224816</v>
      </c>
      <c r="N19" s="58"/>
      <c r="O19" s="55">
        <f>SUMIF('Raw Data'!B:B,"May",'Raw Data'!S:S)</f>
        <v>50</v>
      </c>
      <c r="P19" s="55"/>
      <c r="Q19" s="58">
        <f>IFERROR(SUMIF('Raw Data'!B:B,"May",'Raw Data'!S:S)/COUNTIF('Raw Data'!B:B,"May"),0)</f>
        <v>0.96153846153846156</v>
      </c>
      <c r="R19" s="58"/>
      <c r="S19" s="73">
        <f>IFERROR(AVERAGEIF('Raw Data'!B:B,"May",'Raw Data'!U:U),0)</f>
        <v>3.6288461538461525</v>
      </c>
      <c r="T19" s="73"/>
    </row>
    <row r="20" spans="1:20" ht="18" customHeight="1" x14ac:dyDescent="0.35">
      <c r="A20" s="74" t="s">
        <v>33</v>
      </c>
      <c r="B20" s="74"/>
      <c r="C20" s="52">
        <f>COUNTIF('Raw Data'!B:B,"June")</f>
        <v>29</v>
      </c>
      <c r="D20" s="52"/>
      <c r="E20" s="52">
        <f>SUMIF('Raw Data'!B:B,"June",'Raw Data'!K:K)</f>
        <v>181</v>
      </c>
      <c r="F20" s="52"/>
      <c r="G20" s="53">
        <f>SUMIF('Raw Data'!B:B,"June",'Raw Data'!M:M)</f>
        <v>520572</v>
      </c>
      <c r="H20" s="53"/>
      <c r="I20" s="53">
        <f>SUMIF('Raw Data'!B:B,"June",'Raw Data'!P:P)</f>
        <v>418150</v>
      </c>
      <c r="J20" s="53"/>
      <c r="K20" s="53">
        <f>SUMIF('Raw Data'!B:B,"June",'Raw Data'!R:R)</f>
        <v>179575</v>
      </c>
      <c r="L20" s="53"/>
      <c r="M20" s="60">
        <f>IFERROR(SUMIF('Raw Data'!B:B,"June",'Raw Data'!R:R)/SUMIF('Raw Data'!B:B,"June",'Raw Data'!M:M),0)</f>
        <v>0.34495708566730443</v>
      </c>
      <c r="N20" s="60"/>
      <c r="O20" s="52">
        <f>SUMIF('Raw Data'!B:B,"June",'Raw Data'!S:S)</f>
        <v>26</v>
      </c>
      <c r="P20" s="52"/>
      <c r="Q20" s="60">
        <f>IFERROR(SUMIF('Raw Data'!B:B,"June",'Raw Data'!S:S)/COUNTIF('Raw Data'!B:B,"June"),0)</f>
        <v>0.89655172413793105</v>
      </c>
      <c r="R20" s="60"/>
      <c r="S20" s="75">
        <f>IFERROR(AVERAGEIF('Raw Data'!B:B,"June",'Raw Data'!U:U),0)</f>
        <v>3.4586206896551719</v>
      </c>
      <c r="T20" s="75"/>
    </row>
    <row r="21" spans="1:20" ht="18" customHeight="1" x14ac:dyDescent="0.35">
      <c r="A21" s="76" t="s">
        <v>34</v>
      </c>
      <c r="B21" s="76"/>
      <c r="C21" s="55">
        <f>COUNTIF('Raw Data'!B:B,"July")</f>
        <v>46</v>
      </c>
      <c r="D21" s="55"/>
      <c r="E21" s="55">
        <f>SUMIF('Raw Data'!B:B,"July",'Raw Data'!K:K)</f>
        <v>393</v>
      </c>
      <c r="F21" s="55"/>
      <c r="G21" s="56">
        <f>SUMIF('Raw Data'!B:B,"July",'Raw Data'!M:M)</f>
        <v>1120123</v>
      </c>
      <c r="H21" s="56"/>
      <c r="I21" s="56">
        <f>SUMIF('Raw Data'!B:B,"July",'Raw Data'!P:P)</f>
        <v>919842</v>
      </c>
      <c r="J21" s="56"/>
      <c r="K21" s="56">
        <f>SUMIF('Raw Data'!B:B,"July",'Raw Data'!R:R)</f>
        <v>386509</v>
      </c>
      <c r="L21" s="56"/>
      <c r="M21" s="58">
        <f>IFERROR(SUMIF('Raw Data'!B:B,"July",'Raw Data'!R:R)/SUMIF('Raw Data'!B:B,"July",'Raw Data'!M:M),0)</f>
        <v>0.34505942650941013</v>
      </c>
      <c r="N21" s="58"/>
      <c r="O21" s="55">
        <f>SUMIF('Raw Data'!B:B,"July",'Raw Data'!S:S)</f>
        <v>48</v>
      </c>
      <c r="P21" s="55"/>
      <c r="Q21" s="58">
        <f>IFERROR(SUMIF('Raw Data'!B:B,"July",'Raw Data'!S:S)/COUNTIF('Raw Data'!B:B,"July"),0)</f>
        <v>1.0434782608695652</v>
      </c>
      <c r="R21" s="58"/>
      <c r="S21" s="73">
        <f>IFERROR(AVERAGEIF('Raw Data'!B:B,"July",'Raw Data'!U:U),0)</f>
        <v>3.6956521739130439</v>
      </c>
      <c r="T21" s="73"/>
    </row>
    <row r="22" spans="1:20" ht="18" customHeight="1" x14ac:dyDescent="0.35">
      <c r="A22" s="74" t="s">
        <v>35</v>
      </c>
      <c r="B22" s="74"/>
      <c r="C22" s="52">
        <f>COUNTIF('Raw Data'!B:B,"August")</f>
        <v>42</v>
      </c>
      <c r="D22" s="52"/>
      <c r="E22" s="52">
        <f>SUMIF('Raw Data'!B:B,"August",'Raw Data'!K:K)</f>
        <v>330</v>
      </c>
      <c r="F22" s="52"/>
      <c r="G22" s="53">
        <f>SUMIF('Raw Data'!B:B,"August",'Raw Data'!M:M)</f>
        <v>888761</v>
      </c>
      <c r="H22" s="53"/>
      <c r="I22" s="53">
        <f>SUMIF('Raw Data'!B:B,"August",'Raw Data'!P:P)</f>
        <v>704148</v>
      </c>
      <c r="J22" s="53"/>
      <c r="K22" s="53">
        <f>SUMIF('Raw Data'!B:B,"August",'Raw Data'!R:R)</f>
        <v>296397</v>
      </c>
      <c r="L22" s="53"/>
      <c r="M22" s="60">
        <f>IFERROR(SUMIF('Raw Data'!B:B,"August",'Raw Data'!R:R)/SUMIF('Raw Data'!B:B,"August",'Raw Data'!M:M),0)</f>
        <v>0.33349460653651541</v>
      </c>
      <c r="N22" s="60"/>
      <c r="O22" s="52">
        <f>SUMIF('Raw Data'!B:B,"August",'Raw Data'!S:S)</f>
        <v>43</v>
      </c>
      <c r="P22" s="52"/>
      <c r="Q22" s="60">
        <f>IFERROR(SUMIF('Raw Data'!B:B,"August",'Raw Data'!S:S)/COUNTIF('Raw Data'!B:B,"August"),0)</f>
        <v>1.0238095238095237</v>
      </c>
      <c r="R22" s="60"/>
      <c r="S22" s="75">
        <f>IFERROR(AVERAGEIF('Raw Data'!B:B,"August",'Raw Data'!U:U),0)</f>
        <v>3.6857142857142855</v>
      </c>
      <c r="T22" s="75"/>
    </row>
    <row r="23" spans="1:20" ht="18" customHeight="1" x14ac:dyDescent="0.35">
      <c r="A23" s="76" t="s">
        <v>36</v>
      </c>
      <c r="B23" s="76"/>
      <c r="C23" s="55">
        <f>COUNTIF('Raw Data'!B:B,"September")</f>
        <v>47</v>
      </c>
      <c r="D23" s="55"/>
      <c r="E23" s="55">
        <f>SUMIF('Raw Data'!B:B,"September",'Raw Data'!K:K)</f>
        <v>341</v>
      </c>
      <c r="F23" s="55"/>
      <c r="G23" s="56">
        <f>SUMIF('Raw Data'!B:B,"September",'Raw Data'!M:M)</f>
        <v>964038</v>
      </c>
      <c r="H23" s="56"/>
      <c r="I23" s="56">
        <f>SUMIF('Raw Data'!B:B,"September",'Raw Data'!P:P)</f>
        <v>780859</v>
      </c>
      <c r="J23" s="56"/>
      <c r="K23" s="56">
        <f>SUMIF('Raw Data'!B:B,"September",'Raw Data'!R:R)</f>
        <v>339145</v>
      </c>
      <c r="L23" s="56"/>
      <c r="M23" s="58">
        <f>IFERROR(SUMIF('Raw Data'!B:B,"September",'Raw Data'!R:R)/SUMIF('Raw Data'!B:B,"September",'Raw Data'!M:M),0)</f>
        <v>0.35179629848615929</v>
      </c>
      <c r="N23" s="58"/>
      <c r="O23" s="55">
        <f>SUMIF('Raw Data'!B:B,"September",'Raw Data'!S:S)</f>
        <v>43</v>
      </c>
      <c r="P23" s="55"/>
      <c r="Q23" s="58">
        <f>IFERROR(SUMIF('Raw Data'!B:B,"September",'Raw Data'!S:S)/COUNTIF('Raw Data'!B:B,"September"),0)</f>
        <v>0.91489361702127658</v>
      </c>
      <c r="R23" s="58"/>
      <c r="S23" s="73">
        <f>IFERROR(AVERAGEIF('Raw Data'!B:B,"September",'Raw Data'!U:U),0)</f>
        <v>3.6191489361702143</v>
      </c>
      <c r="T23" s="73"/>
    </row>
    <row r="24" spans="1:20" ht="18" customHeight="1" x14ac:dyDescent="0.35">
      <c r="A24" s="74" t="s">
        <v>37</v>
      </c>
      <c r="B24" s="74"/>
      <c r="C24" s="52">
        <f>COUNTIF('Raw Data'!B:B,"October")</f>
        <v>50</v>
      </c>
      <c r="D24" s="52"/>
      <c r="E24" s="52">
        <f>SUMIF('Raw Data'!B:B,"October",'Raw Data'!K:K)</f>
        <v>383</v>
      </c>
      <c r="F24" s="52"/>
      <c r="G24" s="53">
        <f>SUMIF('Raw Data'!B:B,"October",'Raw Data'!M:M)</f>
        <v>977579</v>
      </c>
      <c r="H24" s="53"/>
      <c r="I24" s="53">
        <f>SUMIF('Raw Data'!B:B,"October",'Raw Data'!P:P)</f>
        <v>746692</v>
      </c>
      <c r="J24" s="53"/>
      <c r="K24" s="53">
        <f>SUMIF('Raw Data'!B:B,"October",'Raw Data'!R:R)</f>
        <v>325402</v>
      </c>
      <c r="L24" s="53"/>
      <c r="M24" s="60">
        <f>IFERROR(SUMIF('Raw Data'!B:B,"October",'Raw Data'!R:R)/SUMIF('Raw Data'!B:B,"October",'Raw Data'!M:M),0)</f>
        <v>0.3328651699760326</v>
      </c>
      <c r="N24" s="60"/>
      <c r="O24" s="52">
        <f>SUMIF('Raw Data'!B:B,"October",'Raw Data'!S:S)</f>
        <v>39</v>
      </c>
      <c r="P24" s="52"/>
      <c r="Q24" s="60">
        <f>IFERROR(SUMIF('Raw Data'!B:B,"October",'Raw Data'!S:S)/COUNTIF('Raw Data'!B:B,"October"),0)</f>
        <v>0.78</v>
      </c>
      <c r="R24" s="60"/>
      <c r="S24" s="75">
        <f>IFERROR(AVERAGEIF('Raw Data'!B:B,"October",'Raw Data'!U:U),0)</f>
        <v>3.5800000000000005</v>
      </c>
      <c r="T24" s="75"/>
    </row>
    <row r="25" spans="1:20" ht="18" customHeight="1" x14ac:dyDescent="0.35">
      <c r="A25" s="76" t="s">
        <v>38</v>
      </c>
      <c r="B25" s="76"/>
      <c r="C25" s="55">
        <f>COUNTIF('Raw Data'!B:B,"November")</f>
        <v>37</v>
      </c>
      <c r="D25" s="55"/>
      <c r="E25" s="55">
        <f>SUMIF('Raw Data'!B:B,"November",'Raw Data'!K:K)</f>
        <v>309</v>
      </c>
      <c r="F25" s="55"/>
      <c r="G25" s="56">
        <f>SUMIF('Raw Data'!B:B,"November",'Raw Data'!M:M)</f>
        <v>925078</v>
      </c>
      <c r="H25" s="56"/>
      <c r="I25" s="56">
        <f>SUMIF('Raw Data'!B:B,"November",'Raw Data'!P:P)</f>
        <v>708636</v>
      </c>
      <c r="J25" s="56"/>
      <c r="K25" s="56">
        <f>SUMIF('Raw Data'!B:B,"November",'Raw Data'!R:R)</f>
        <v>303300</v>
      </c>
      <c r="L25" s="56"/>
      <c r="M25" s="58">
        <f>IFERROR(SUMIF('Raw Data'!B:B,"November",'Raw Data'!R:R)/SUMIF('Raw Data'!B:B,"November",'Raw Data'!M:M),0)</f>
        <v>0.32786424496096545</v>
      </c>
      <c r="N25" s="58"/>
      <c r="O25" s="55">
        <f>SUMIF('Raw Data'!B:B,"November",'Raw Data'!S:S)</f>
        <v>40</v>
      </c>
      <c r="P25" s="55"/>
      <c r="Q25" s="58">
        <f>IFERROR(SUMIF('Raw Data'!B:B,"November",'Raw Data'!S:S)/COUNTIF('Raw Data'!B:B,"November"),0)</f>
        <v>1.0810810810810811</v>
      </c>
      <c r="R25" s="58"/>
      <c r="S25" s="73">
        <f>IFERROR(AVERAGEIF('Raw Data'!B:B,"November",'Raw Data'!U:U),0)</f>
        <v>3.8648648648648649</v>
      </c>
      <c r="T25" s="73"/>
    </row>
    <row r="26" spans="1:20" ht="18" customHeight="1" x14ac:dyDescent="0.35">
      <c r="A26" s="74" t="s">
        <v>39</v>
      </c>
      <c r="B26" s="74"/>
      <c r="C26" s="52">
        <f>COUNTIF('Raw Data'!B:B,"December")</f>
        <v>48</v>
      </c>
      <c r="D26" s="52"/>
      <c r="E26" s="52">
        <f>SUMIF('Raw Data'!B:B,"December",'Raw Data'!K:K)</f>
        <v>423</v>
      </c>
      <c r="F26" s="52"/>
      <c r="G26" s="53">
        <f>SUMIF('Raw Data'!B:B,"December",'Raw Data'!M:M)</f>
        <v>1225687</v>
      </c>
      <c r="H26" s="53"/>
      <c r="I26" s="53">
        <f>SUMIF('Raw Data'!B:B,"December",'Raw Data'!P:P)</f>
        <v>970658</v>
      </c>
      <c r="J26" s="53"/>
      <c r="K26" s="53">
        <f>SUMIF('Raw Data'!B:B,"December",'Raw Data'!R:R)</f>
        <v>414396</v>
      </c>
      <c r="L26" s="53"/>
      <c r="M26" s="60">
        <f>IFERROR(SUMIF('Raw Data'!B:B,"December",'Raw Data'!R:R)/SUMIF('Raw Data'!B:B,"December",'Raw Data'!M:M),0)</f>
        <v>0.338092840994479</v>
      </c>
      <c r="N26" s="60"/>
      <c r="O26" s="52">
        <f>SUMIF('Raw Data'!B:B,"December",'Raw Data'!S:S)</f>
        <v>50</v>
      </c>
      <c r="P26" s="52"/>
      <c r="Q26" s="60">
        <f>IFERROR(SUMIF('Raw Data'!B:B,"December",'Raw Data'!S:S)/COUNTIF('Raw Data'!B:B,"December"),0)</f>
        <v>1.0416666666666667</v>
      </c>
      <c r="R26" s="60"/>
      <c r="S26" s="75">
        <f>IFERROR(AVERAGEIF('Raw Data'!B:B,"December",'Raw Data'!U:U),0)</f>
        <v>3.8604166666666675</v>
      </c>
      <c r="T26" s="75"/>
    </row>
    <row r="27" spans="1:20" ht="19.5" customHeight="1" x14ac:dyDescent="0.35">
      <c r="A27" s="69" t="s">
        <v>40</v>
      </c>
      <c r="B27" s="69"/>
      <c r="C27" s="70">
        <f>SUM(C15:C26)</f>
        <v>500</v>
      </c>
      <c r="D27" s="70"/>
      <c r="E27" s="70">
        <f>SUM(E15:E26)</f>
        <v>3897</v>
      </c>
      <c r="F27" s="70"/>
      <c r="G27" s="71">
        <f>SUM(G15:G26)</f>
        <v>10641857</v>
      </c>
      <c r="H27" s="71"/>
      <c r="I27" s="71">
        <f>SUM(I15:I26)</f>
        <v>8454342</v>
      </c>
      <c r="J27" s="71"/>
      <c r="K27" s="71">
        <f>SUM(K15:K26)</f>
        <v>3599485</v>
      </c>
      <c r="L27" s="71"/>
      <c r="M27" s="72">
        <f>AVERAGE(M15:M26)</f>
        <v>0.33818393895808785</v>
      </c>
      <c r="N27" s="72"/>
      <c r="O27" s="70">
        <f>SUM(O15:O26)</f>
        <v>472</v>
      </c>
      <c r="P27" s="70"/>
      <c r="Q27" s="72">
        <f>AVERAGE(Q15:Q26)</f>
        <v>0.93413534975632972</v>
      </c>
      <c r="R27" s="72"/>
      <c r="S27" s="66">
        <f>AVERAGE(S15:S26)</f>
        <v>3.7307462037731214</v>
      </c>
      <c r="T27" s="66"/>
    </row>
    <row r="28" spans="1:20" ht="7.5" customHeight="1" x14ac:dyDescent="0.35">
      <c r="A28" s="1"/>
      <c r="B28" s="1"/>
      <c r="C28" s="1"/>
      <c r="D28" s="1"/>
      <c r="E28" s="1"/>
      <c r="F28" s="1"/>
      <c r="G28" s="1"/>
      <c r="H28" s="1"/>
      <c r="I28" s="1"/>
      <c r="J28" s="1"/>
      <c r="K28" s="1"/>
      <c r="L28" s="1"/>
      <c r="M28" s="1"/>
      <c r="N28" s="1"/>
      <c r="O28" s="1"/>
      <c r="P28" s="1"/>
      <c r="Q28" s="1"/>
      <c r="R28" s="1"/>
      <c r="S28" s="1"/>
      <c r="T28" s="1"/>
    </row>
    <row r="29" spans="1:20" ht="19.5" customHeight="1" x14ac:dyDescent="0.35">
      <c r="A29" s="61" t="s">
        <v>41</v>
      </c>
      <c r="B29" s="61"/>
      <c r="C29" s="61"/>
      <c r="D29" s="61"/>
      <c r="E29" s="61"/>
      <c r="F29" s="61"/>
      <c r="G29" s="61"/>
      <c r="H29" s="61"/>
      <c r="I29" s="61"/>
      <c r="J29" s="61"/>
      <c r="K29" s="1"/>
      <c r="L29" s="61" t="s">
        <v>42</v>
      </c>
      <c r="M29" s="61"/>
      <c r="N29" s="61"/>
      <c r="O29" s="61"/>
      <c r="P29" s="61"/>
      <c r="Q29" s="61"/>
      <c r="R29" s="61"/>
      <c r="S29" s="61"/>
      <c r="T29" s="61"/>
    </row>
    <row r="30" spans="1:20" ht="18" customHeight="1" x14ac:dyDescent="0.35">
      <c r="A30" s="2" t="s">
        <v>43</v>
      </c>
      <c r="B30" s="67" t="s">
        <v>19</v>
      </c>
      <c r="C30" s="67"/>
      <c r="D30" s="67" t="s">
        <v>21</v>
      </c>
      <c r="E30" s="67"/>
      <c r="F30" s="67" t="s">
        <v>44</v>
      </c>
      <c r="G30" s="67"/>
      <c r="H30" s="67" t="s">
        <v>45</v>
      </c>
      <c r="I30" s="67"/>
      <c r="J30" s="67" t="s">
        <v>46</v>
      </c>
      <c r="K30" s="67"/>
      <c r="L30" s="68" t="s">
        <v>47</v>
      </c>
      <c r="M30" s="68"/>
      <c r="N30" s="68" t="s">
        <v>19</v>
      </c>
      <c r="O30" s="68"/>
      <c r="P30" s="68" t="s">
        <v>21</v>
      </c>
      <c r="Q30" s="68"/>
      <c r="R30" s="68" t="s">
        <v>44</v>
      </c>
      <c r="S30" s="68"/>
      <c r="T30" s="3" t="s">
        <v>27</v>
      </c>
    </row>
    <row r="31" spans="1:20" ht="18" customHeight="1" x14ac:dyDescent="0.35">
      <c r="A31" s="4" t="s">
        <v>48</v>
      </c>
      <c r="B31" s="55">
        <f>COUNTIF('Raw Data'!E:E,"Sports")</f>
        <v>72</v>
      </c>
      <c r="C31" s="55"/>
      <c r="D31" s="56">
        <f>SUMIF('Raw Data'!E:E,"Sports",'Raw Data'!M:M)</f>
        <v>1368287</v>
      </c>
      <c r="E31" s="56"/>
      <c r="F31" s="56">
        <f>SUMIF('Raw Data'!E:E,"Sports",'Raw Data'!P:P)</f>
        <v>1085922</v>
      </c>
      <c r="G31" s="56"/>
      <c r="H31" s="56">
        <f>SUMIF('Raw Data'!E:E,"Sports",'Raw Data'!R:R)</f>
        <v>449312</v>
      </c>
      <c r="I31" s="56"/>
      <c r="J31" s="58">
        <f>IFERROR(SUMIF('Raw Data'!E:E,"Sports",'Raw Data'!R:R)/SUMIF('Raw Data'!E:E,"Sports",'Raw Data'!M:M),0)</f>
        <v>0.32837555278972907</v>
      </c>
      <c r="K31" s="58"/>
      <c r="L31" s="64" t="s">
        <v>49</v>
      </c>
      <c r="M31" s="64"/>
      <c r="N31" s="55">
        <f>COUNTIF('Raw Data'!G:G,"North")</f>
        <v>98</v>
      </c>
      <c r="O31" s="55"/>
      <c r="P31" s="56">
        <f>SUMIF('Raw Data'!G:G,"North",'Raw Data'!M:M)</f>
        <v>2197953</v>
      </c>
      <c r="Q31" s="56"/>
      <c r="R31" s="56">
        <f>SUMIF('Raw Data'!G:G,"North",'Raw Data'!P:P)</f>
        <v>1769552</v>
      </c>
      <c r="S31" s="56"/>
      <c r="T31" s="5">
        <f>IFERROR(AVERAGEIF('Raw Data'!G:G,"North",'Raw Data'!U:U),0)</f>
        <v>3.6265306122448977</v>
      </c>
    </row>
    <row r="32" spans="1:20" ht="18" customHeight="1" x14ac:dyDescent="0.35">
      <c r="A32" s="6" t="s">
        <v>50</v>
      </c>
      <c r="B32" s="52">
        <f>COUNTIF('Raw Data'!E:E,"Beauty")</f>
        <v>79</v>
      </c>
      <c r="C32" s="52"/>
      <c r="D32" s="53">
        <f>SUMIF('Raw Data'!E:E,"Beauty",'Raw Data'!M:M)</f>
        <v>1562443</v>
      </c>
      <c r="E32" s="53"/>
      <c r="F32" s="53">
        <f>SUMIF('Raw Data'!E:E,"Beauty",'Raw Data'!P:P)</f>
        <v>1287318</v>
      </c>
      <c r="G32" s="53"/>
      <c r="H32" s="53">
        <f>SUMIF('Raw Data'!E:E,"Beauty",'Raw Data'!R:R)</f>
        <v>542159</v>
      </c>
      <c r="I32" s="53"/>
      <c r="J32" s="60">
        <f>IFERROR(SUMIF('Raw Data'!E:E,"Beauty",'Raw Data'!R:R)/SUMIF('Raw Data'!E:E,"Beauty",'Raw Data'!M:M),0)</f>
        <v>0.34699441835638162</v>
      </c>
      <c r="K32" s="60"/>
      <c r="L32" s="65" t="s">
        <v>51</v>
      </c>
      <c r="M32" s="65"/>
      <c r="N32" s="52">
        <f>COUNTIF('Raw Data'!G:G,"South")</f>
        <v>102</v>
      </c>
      <c r="O32" s="52"/>
      <c r="P32" s="53">
        <f>SUMIF('Raw Data'!G:G,"South",'Raw Data'!M:M)</f>
        <v>2245588</v>
      </c>
      <c r="Q32" s="53"/>
      <c r="R32" s="53">
        <f>SUMIF('Raw Data'!G:G,"South",'Raw Data'!P:P)</f>
        <v>1727059</v>
      </c>
      <c r="S32" s="53"/>
      <c r="T32" s="7">
        <f>IFERROR(AVERAGEIF('Raw Data'!G:G,"South",'Raw Data'!U:U),0)</f>
        <v>3.7941176470588243</v>
      </c>
    </row>
    <row r="33" spans="1:20" ht="18" customHeight="1" x14ac:dyDescent="0.35">
      <c r="A33" s="4" t="s">
        <v>52</v>
      </c>
      <c r="B33" s="55">
        <f>COUNTIF('Raw Data'!E:E,"Footwear")</f>
        <v>64</v>
      </c>
      <c r="C33" s="55"/>
      <c r="D33" s="56">
        <f>SUMIF('Raw Data'!E:E,"Footwear",'Raw Data'!M:M)</f>
        <v>1685692</v>
      </c>
      <c r="E33" s="56"/>
      <c r="F33" s="56">
        <f>SUMIF('Raw Data'!E:E,"Footwear",'Raw Data'!P:P)</f>
        <v>1306363</v>
      </c>
      <c r="G33" s="56"/>
      <c r="H33" s="56">
        <f>SUMIF('Raw Data'!E:E,"Footwear",'Raw Data'!R:R)</f>
        <v>579584</v>
      </c>
      <c r="I33" s="56"/>
      <c r="J33" s="58">
        <f>IFERROR(SUMIF('Raw Data'!E:E,"Footwear",'Raw Data'!R:R)/SUMIF('Raw Data'!E:E,"Footwear",'Raw Data'!M:M),0)</f>
        <v>0.34382556243963902</v>
      </c>
      <c r="K33" s="58"/>
      <c r="L33" s="64" t="s">
        <v>53</v>
      </c>
      <c r="M33" s="64"/>
      <c r="N33" s="55">
        <f>COUNTIF('Raw Data'!G:G,"East")</f>
        <v>85</v>
      </c>
      <c r="O33" s="55"/>
      <c r="P33" s="56">
        <f>SUMIF('Raw Data'!G:G,"East",'Raw Data'!M:M)</f>
        <v>1833265</v>
      </c>
      <c r="Q33" s="56"/>
      <c r="R33" s="56">
        <f>SUMIF('Raw Data'!G:G,"East",'Raw Data'!P:P)</f>
        <v>1483592</v>
      </c>
      <c r="S33" s="56"/>
      <c r="T33" s="5">
        <f>IFERROR(AVERAGEIF('Raw Data'!G:G,"East",'Raw Data'!U:U),0)</f>
        <v>3.7164705882352944</v>
      </c>
    </row>
    <row r="34" spans="1:20" ht="18" customHeight="1" x14ac:dyDescent="0.35">
      <c r="A34" s="6" t="s">
        <v>54</v>
      </c>
      <c r="B34" s="52">
        <f>COUNTIF('Raw Data'!E:E,"Accessories")</f>
        <v>68</v>
      </c>
      <c r="C34" s="52"/>
      <c r="D34" s="53">
        <f>SUMIF('Raw Data'!E:E,"Accessories",'Raw Data'!M:M)</f>
        <v>1465218</v>
      </c>
      <c r="E34" s="53"/>
      <c r="F34" s="53">
        <f>SUMIF('Raw Data'!E:E,"Accessories",'Raw Data'!P:P)</f>
        <v>1157667</v>
      </c>
      <c r="G34" s="53"/>
      <c r="H34" s="53">
        <f>SUMIF('Raw Data'!E:E,"Accessories",'Raw Data'!R:R)</f>
        <v>480942</v>
      </c>
      <c r="I34" s="53"/>
      <c r="J34" s="60">
        <f>IFERROR(SUMIF('Raw Data'!E:E,"Accessories",'Raw Data'!R:R)/SUMIF('Raw Data'!E:E,"Accessories",'Raw Data'!M:M),0)</f>
        <v>0.32823921082050589</v>
      </c>
      <c r="K34" s="60"/>
      <c r="L34" s="65" t="s">
        <v>55</v>
      </c>
      <c r="M34" s="65"/>
      <c r="N34" s="52">
        <f>COUNTIF('Raw Data'!G:G,"West")</f>
        <v>110</v>
      </c>
      <c r="O34" s="52"/>
      <c r="P34" s="53">
        <f>SUMIF('Raw Data'!G:G,"West",'Raw Data'!M:M)</f>
        <v>2165577</v>
      </c>
      <c r="Q34" s="53"/>
      <c r="R34" s="53">
        <f>SUMIF('Raw Data'!G:G,"West",'Raw Data'!P:P)</f>
        <v>1762720</v>
      </c>
      <c r="S34" s="53"/>
      <c r="T34" s="7">
        <f>IFERROR(AVERAGEIF('Raw Data'!G:G,"West",'Raw Data'!U:U),0)</f>
        <v>3.7327272727272724</v>
      </c>
    </row>
    <row r="35" spans="1:20" ht="18" customHeight="1" x14ac:dyDescent="0.35">
      <c r="A35" s="4" t="s">
        <v>56</v>
      </c>
      <c r="B35" s="55">
        <f>COUNTIF('Raw Data'!E:E,"Home &amp; Living")</f>
        <v>74</v>
      </c>
      <c r="C35" s="55"/>
      <c r="D35" s="56">
        <f>SUMIF('Raw Data'!E:E,"Home &amp; Living",'Raw Data'!M:M)</f>
        <v>1701828</v>
      </c>
      <c r="E35" s="56"/>
      <c r="F35" s="56">
        <f>SUMIF('Raw Data'!E:E,"Home &amp; Living",'Raw Data'!P:P)</f>
        <v>1359315</v>
      </c>
      <c r="G35" s="56"/>
      <c r="H35" s="56">
        <f>SUMIF('Raw Data'!E:E,"Home &amp; Living",'Raw Data'!R:R)</f>
        <v>582199</v>
      </c>
      <c r="I35" s="56"/>
      <c r="J35" s="58">
        <f>IFERROR(SUMIF('Raw Data'!E:E,"Home &amp; Living",'Raw Data'!R:R)/SUMIF('Raw Data'!E:E,"Home &amp; Living",'Raw Data'!M:M),0)</f>
        <v>0.34210213958167335</v>
      </c>
      <c r="K35" s="58"/>
      <c r="L35" s="64" t="s">
        <v>57</v>
      </c>
      <c r="M35" s="64"/>
      <c r="N35" s="55">
        <f>COUNTIF('Raw Data'!G:G,"Central")</f>
        <v>105</v>
      </c>
      <c r="O35" s="55"/>
      <c r="P35" s="56">
        <f>SUMIF('Raw Data'!G:G,"Central",'Raw Data'!M:M)</f>
        <v>2199474</v>
      </c>
      <c r="Q35" s="56"/>
      <c r="R35" s="56">
        <f>SUMIF('Raw Data'!G:G,"Central",'Raw Data'!P:P)</f>
        <v>1711419</v>
      </c>
      <c r="S35" s="56"/>
      <c r="T35" s="5">
        <f>IFERROR(AVERAGEIF('Raw Data'!G:G,"Central",'Raw Data'!U:U),0)</f>
        <v>3.7447619047619058</v>
      </c>
    </row>
    <row r="36" spans="1:20" ht="18" customHeight="1" x14ac:dyDescent="0.35">
      <c r="A36" s="6" t="s">
        <v>58</v>
      </c>
      <c r="B36" s="52">
        <f>COUNTIF('Raw Data'!E:E,"Kids")</f>
        <v>83</v>
      </c>
      <c r="C36" s="52"/>
      <c r="D36" s="53">
        <f>SUMIF('Raw Data'!E:E,"Kids",'Raw Data'!M:M)</f>
        <v>1709049</v>
      </c>
      <c r="E36" s="53"/>
      <c r="F36" s="53">
        <f>SUMIF('Raw Data'!E:E,"Kids",'Raw Data'!P:P)</f>
        <v>1314578</v>
      </c>
      <c r="G36" s="53"/>
      <c r="H36" s="53">
        <f>SUMIF('Raw Data'!E:E,"Kids",'Raw Data'!R:R)</f>
        <v>563151</v>
      </c>
      <c r="I36" s="53"/>
      <c r="J36" s="60">
        <f>IFERROR(SUMIF('Raw Data'!E:E,"Kids",'Raw Data'!R:R)/SUMIF('Raw Data'!E:E,"Kids",'Raw Data'!M:M),0)</f>
        <v>0.32951132471918593</v>
      </c>
      <c r="K36" s="60"/>
      <c r="L36" s="1"/>
      <c r="M36" s="1"/>
      <c r="N36" s="1"/>
      <c r="O36" s="1"/>
      <c r="P36" s="1"/>
      <c r="Q36" s="1"/>
      <c r="R36" s="1"/>
      <c r="S36" s="1"/>
      <c r="T36" s="1"/>
    </row>
    <row r="37" spans="1:20" ht="18" customHeight="1" x14ac:dyDescent="0.35">
      <c r="A37" s="4" t="s">
        <v>59</v>
      </c>
      <c r="B37" s="55">
        <f>COUNTIF('Raw Data'!E:E,"Clothing")</f>
        <v>60</v>
      </c>
      <c r="C37" s="55"/>
      <c r="D37" s="56">
        <f>SUMIF('Raw Data'!E:E,"Clothing",'Raw Data'!M:M)</f>
        <v>1149340</v>
      </c>
      <c r="E37" s="56"/>
      <c r="F37" s="56">
        <f>SUMIF('Raw Data'!E:E,"Clothing",'Raw Data'!P:P)</f>
        <v>943179</v>
      </c>
      <c r="G37" s="56"/>
      <c r="H37" s="56">
        <f>SUMIF('Raw Data'!E:E,"Clothing",'Raw Data'!R:R)</f>
        <v>402138</v>
      </c>
      <c r="I37" s="56"/>
      <c r="J37" s="58">
        <f>IFERROR(SUMIF('Raw Data'!E:E,"Clothing",'Raw Data'!R:R)/SUMIF('Raw Data'!E:E,"Clothing",'Raw Data'!M:M),0)</f>
        <v>0.34988602154279846</v>
      </c>
      <c r="K37" s="58"/>
      <c r="L37" s="1"/>
      <c r="M37" s="1"/>
      <c r="N37" s="1"/>
      <c r="O37" s="1"/>
      <c r="P37" s="1"/>
      <c r="Q37" s="1"/>
      <c r="R37" s="1"/>
      <c r="S37" s="1"/>
      <c r="T37" s="1"/>
    </row>
    <row r="38" spans="1:20" ht="7.5" customHeight="1" x14ac:dyDescent="0.35">
      <c r="A38" s="1"/>
      <c r="B38" s="1"/>
      <c r="C38" s="1"/>
      <c r="D38" s="1"/>
      <c r="E38" s="1"/>
      <c r="F38" s="1"/>
      <c r="G38" s="1"/>
      <c r="H38" s="1"/>
      <c r="I38" s="1"/>
      <c r="J38" s="1"/>
      <c r="K38" s="1"/>
      <c r="L38" s="1"/>
      <c r="M38" s="1"/>
      <c r="N38" s="1"/>
      <c r="O38" s="1"/>
      <c r="P38" s="1"/>
      <c r="Q38" s="1"/>
      <c r="R38" s="1"/>
      <c r="S38" s="1"/>
      <c r="T38" s="1"/>
    </row>
    <row r="39" spans="1:20" ht="19.5" customHeight="1" x14ac:dyDescent="0.35">
      <c r="A39" s="61" t="s">
        <v>60</v>
      </c>
      <c r="B39" s="61"/>
      <c r="C39" s="61"/>
      <c r="D39" s="61"/>
      <c r="E39" s="61"/>
      <c r="F39" s="61"/>
      <c r="G39" s="61"/>
      <c r="H39" s="61"/>
      <c r="I39" s="61"/>
      <c r="J39" s="61"/>
      <c r="K39" s="1"/>
      <c r="L39" s="61" t="s">
        <v>61</v>
      </c>
      <c r="M39" s="61"/>
      <c r="N39" s="61"/>
      <c r="O39" s="61"/>
      <c r="P39" s="61"/>
      <c r="Q39" s="61"/>
      <c r="R39" s="61"/>
      <c r="S39" s="61"/>
      <c r="T39" s="61"/>
    </row>
    <row r="40" spans="1:20" ht="18" customHeight="1" x14ac:dyDescent="0.35">
      <c r="A40" s="62" t="s">
        <v>62</v>
      </c>
      <c r="B40" s="62"/>
      <c r="C40" s="62" t="s">
        <v>19</v>
      </c>
      <c r="D40" s="62"/>
      <c r="E40" s="62" t="s">
        <v>21</v>
      </c>
      <c r="F40" s="62"/>
      <c r="G40" s="62" t="s">
        <v>44</v>
      </c>
      <c r="H40" s="62"/>
      <c r="I40" s="62" t="s">
        <v>46</v>
      </c>
      <c r="J40" s="62"/>
      <c r="K40" s="1"/>
      <c r="L40" s="63" t="s">
        <v>63</v>
      </c>
      <c r="M40" s="63"/>
      <c r="N40" s="63" t="s">
        <v>19</v>
      </c>
      <c r="O40" s="63"/>
      <c r="P40" s="63" t="s">
        <v>21</v>
      </c>
      <c r="Q40" s="63"/>
      <c r="R40" s="63" t="s">
        <v>44</v>
      </c>
      <c r="S40" s="63"/>
      <c r="T40" s="63"/>
    </row>
    <row r="41" spans="1:20" ht="18" customHeight="1" x14ac:dyDescent="0.35">
      <c r="A41" s="57" t="s">
        <v>64</v>
      </c>
      <c r="B41" s="57"/>
      <c r="C41" s="55">
        <f>COUNTIF('Raw Data'!H:H,"App")</f>
        <v>162</v>
      </c>
      <c r="D41" s="55"/>
      <c r="E41" s="56">
        <f>SUMIF('Raw Data'!H:H,"App",'Raw Data'!M:M)</f>
        <v>3276893</v>
      </c>
      <c r="F41" s="56"/>
      <c r="G41" s="56">
        <f>SUMIF('Raw Data'!H:H,"App",'Raw Data'!P:P)</f>
        <v>2502400</v>
      </c>
      <c r="H41" s="56"/>
      <c r="I41" s="58">
        <f>IFERROR(SUMIF('Raw Data'!H:H,"App",'Raw Data'!R:R)/SUMIF('Raw Data'!H:H,"App",'Raw Data'!M:M),0)</f>
        <v>0.32523033251314581</v>
      </c>
      <c r="J41" s="58"/>
      <c r="K41" s="1"/>
      <c r="L41" s="54" t="s">
        <v>65</v>
      </c>
      <c r="M41" s="54"/>
      <c r="N41" s="55">
        <f>COUNTIF('Raw Data'!I:I,"COD")</f>
        <v>104</v>
      </c>
      <c r="O41" s="55"/>
      <c r="P41" s="56">
        <f>SUMIF('Raw Data'!I:I,"COD",'Raw Data'!M:M)</f>
        <v>1954692</v>
      </c>
      <c r="Q41" s="56"/>
      <c r="R41" s="56">
        <f>SUMIF('Raw Data'!I:I,"COD",'Raw Data'!P:P)</f>
        <v>1522207</v>
      </c>
      <c r="S41" s="56"/>
      <c r="T41" s="56"/>
    </row>
    <row r="42" spans="1:20" ht="18" customHeight="1" x14ac:dyDescent="0.35">
      <c r="A42" s="59" t="s">
        <v>66</v>
      </c>
      <c r="B42" s="59"/>
      <c r="C42" s="52">
        <f>COUNTIF('Raw Data'!H:H,"Mobile Web")</f>
        <v>188</v>
      </c>
      <c r="D42" s="52"/>
      <c r="E42" s="53">
        <f>SUMIF('Raw Data'!H:H,"Mobile Web",'Raw Data'!M:M)</f>
        <v>4423552</v>
      </c>
      <c r="F42" s="53"/>
      <c r="G42" s="53">
        <f>SUMIF('Raw Data'!H:H,"Mobile Web",'Raw Data'!P:P)</f>
        <v>3551487</v>
      </c>
      <c r="H42" s="53"/>
      <c r="I42" s="60">
        <f>IFERROR(SUMIF('Raw Data'!H:H,"Mobile Web",'Raw Data'!R:R)/SUMIF('Raw Data'!H:H,"Mobile Web",'Raw Data'!M:M),0)</f>
        <v>0.34357367111316878</v>
      </c>
      <c r="J42" s="60"/>
      <c r="K42" s="1"/>
      <c r="L42" s="51" t="s">
        <v>67</v>
      </c>
      <c r="M42" s="51"/>
      <c r="N42" s="52">
        <f>COUNTIF('Raw Data'!I:I,"UPI")</f>
        <v>122</v>
      </c>
      <c r="O42" s="52"/>
      <c r="P42" s="53">
        <f>SUMIF('Raw Data'!I:I,"UPI",'Raw Data'!M:M)</f>
        <v>2561013</v>
      </c>
      <c r="Q42" s="53"/>
      <c r="R42" s="53">
        <f>SUMIF('Raw Data'!I:I,"UPI",'Raw Data'!P:P)</f>
        <v>2067350</v>
      </c>
      <c r="S42" s="53"/>
      <c r="T42" s="53"/>
    </row>
    <row r="43" spans="1:20" ht="18" customHeight="1" x14ac:dyDescent="0.35">
      <c r="A43" s="57" t="s">
        <v>68</v>
      </c>
      <c r="B43" s="57"/>
      <c r="C43" s="55">
        <f>COUNTIF('Raw Data'!H:H,"Website")</f>
        <v>150</v>
      </c>
      <c r="D43" s="55"/>
      <c r="E43" s="56">
        <f>SUMIF('Raw Data'!H:H,"Website",'Raw Data'!M:M)</f>
        <v>2941412</v>
      </c>
      <c r="F43" s="56"/>
      <c r="G43" s="56">
        <f>SUMIF('Raw Data'!H:H,"Website",'Raw Data'!P:P)</f>
        <v>2400455</v>
      </c>
      <c r="H43" s="56"/>
      <c r="I43" s="58">
        <f>IFERROR(SUMIF('Raw Data'!H:H,"Website",'Raw Data'!R:R)/SUMIF('Raw Data'!H:H,"Website",'Raw Data'!M:M),0)</f>
        <v>0.34470655589900362</v>
      </c>
      <c r="J43" s="58"/>
      <c r="K43" s="1"/>
      <c r="L43" s="54" t="s">
        <v>69</v>
      </c>
      <c r="M43" s="54"/>
      <c r="N43" s="55">
        <f>COUNTIF('Raw Data'!I:I,"Credit Card")</f>
        <v>82</v>
      </c>
      <c r="O43" s="55"/>
      <c r="P43" s="56">
        <f>SUMIF('Raw Data'!I:I,"Credit Card",'Raw Data'!M:M)</f>
        <v>1563147</v>
      </c>
      <c r="Q43" s="56"/>
      <c r="R43" s="56">
        <f>SUMIF('Raw Data'!I:I,"Credit Card",'Raw Data'!P:P)</f>
        <v>1222019</v>
      </c>
      <c r="S43" s="56"/>
      <c r="T43" s="56"/>
    </row>
    <row r="44" spans="1:20" ht="18" customHeight="1" x14ac:dyDescent="0.35">
      <c r="A44" s="1"/>
      <c r="B44" s="1"/>
      <c r="C44" s="1"/>
      <c r="D44" s="1"/>
      <c r="E44" s="1"/>
      <c r="F44" s="1"/>
      <c r="G44" s="1"/>
      <c r="H44" s="1"/>
      <c r="I44" s="1"/>
      <c r="J44" s="1"/>
      <c r="K44" s="1"/>
      <c r="L44" s="51" t="s">
        <v>70</v>
      </c>
      <c r="M44" s="51"/>
      <c r="N44" s="52">
        <f>COUNTIF('Raw Data'!I:I,"Debit Card")</f>
        <v>84</v>
      </c>
      <c r="O44" s="52"/>
      <c r="P44" s="53">
        <f>SUMIF('Raw Data'!I:I,"Debit Card",'Raw Data'!M:M)</f>
        <v>1913627</v>
      </c>
      <c r="Q44" s="53"/>
      <c r="R44" s="53">
        <f>SUMIF('Raw Data'!I:I,"Debit Card",'Raw Data'!P:P)</f>
        <v>1531556</v>
      </c>
      <c r="S44" s="53"/>
      <c r="T44" s="53"/>
    </row>
    <row r="45" spans="1:20" ht="18" customHeight="1" x14ac:dyDescent="0.35">
      <c r="A45" s="1"/>
      <c r="B45" s="1"/>
      <c r="C45" s="1"/>
      <c r="D45" s="1"/>
      <c r="E45" s="1"/>
      <c r="F45" s="1"/>
      <c r="G45" s="1"/>
      <c r="H45" s="1"/>
      <c r="I45" s="1"/>
      <c r="J45" s="1"/>
      <c r="K45" s="1"/>
      <c r="L45" s="54" t="s">
        <v>71</v>
      </c>
      <c r="M45" s="54"/>
      <c r="N45" s="55">
        <f>COUNTIF('Raw Data'!I:I,"Wallet")</f>
        <v>108</v>
      </c>
      <c r="O45" s="55"/>
      <c r="P45" s="56">
        <f>SUMIF('Raw Data'!I:I,"Wallet",'Raw Data'!M:M)</f>
        <v>2649378</v>
      </c>
      <c r="Q45" s="56"/>
      <c r="R45" s="56">
        <f>SUMIF('Raw Data'!I:I,"Wallet",'Raw Data'!P:P)</f>
        <v>2111210</v>
      </c>
      <c r="S45" s="56"/>
      <c r="T45" s="56"/>
    </row>
    <row r="46" spans="1:20" x14ac:dyDescent="0.35">
      <c r="A46" s="1"/>
      <c r="B46" s="1"/>
      <c r="C46" s="1"/>
      <c r="D46" s="1"/>
      <c r="E46" s="1"/>
      <c r="F46" s="1"/>
      <c r="G46" s="1"/>
      <c r="H46" s="1"/>
      <c r="I46" s="1"/>
      <c r="J46" s="1"/>
      <c r="K46" s="1"/>
      <c r="L46" s="1"/>
      <c r="M46" s="1"/>
      <c r="N46" s="1"/>
      <c r="O46" s="1"/>
      <c r="P46" s="1"/>
      <c r="Q46" s="1"/>
      <c r="R46" s="1"/>
      <c r="S46" s="1"/>
      <c r="T46" s="1"/>
    </row>
    <row r="47" spans="1:20" x14ac:dyDescent="0.35">
      <c r="A47" s="1"/>
      <c r="B47" s="1"/>
      <c r="C47" s="1"/>
      <c r="D47" s="1"/>
      <c r="E47" s="1"/>
      <c r="F47" s="1"/>
      <c r="G47" s="1"/>
      <c r="H47" s="1"/>
      <c r="I47" s="1"/>
      <c r="J47" s="1"/>
      <c r="K47" s="1"/>
      <c r="L47" s="1"/>
      <c r="M47" s="1"/>
      <c r="N47" s="1"/>
      <c r="O47" s="1"/>
      <c r="P47" s="1"/>
      <c r="Q47" s="1"/>
      <c r="R47" s="1"/>
      <c r="S47" s="1"/>
      <c r="T47" s="1"/>
    </row>
    <row r="48" spans="1:20" x14ac:dyDescent="0.35">
      <c r="A48" s="1"/>
      <c r="B48" s="1"/>
      <c r="C48" s="1"/>
      <c r="D48" s="1"/>
      <c r="E48" s="1"/>
      <c r="F48" s="1"/>
      <c r="G48" s="1"/>
      <c r="H48" s="1"/>
      <c r="I48" s="1"/>
      <c r="J48" s="1"/>
      <c r="K48" s="1"/>
      <c r="L48" s="1"/>
      <c r="M48" s="1"/>
      <c r="N48" s="1"/>
      <c r="O48" s="1"/>
      <c r="P48" s="1"/>
      <c r="Q48" s="1"/>
      <c r="R48" s="1"/>
      <c r="S48" s="1"/>
      <c r="T48" s="1"/>
    </row>
    <row r="49" spans="1:20" x14ac:dyDescent="0.35">
      <c r="A49" s="1"/>
      <c r="B49" s="1"/>
      <c r="C49" s="1"/>
      <c r="D49" s="1"/>
      <c r="E49" s="1"/>
      <c r="F49" s="1"/>
      <c r="G49" s="1"/>
      <c r="H49" s="1"/>
      <c r="I49" s="1"/>
      <c r="J49" s="1"/>
      <c r="K49" s="1"/>
      <c r="L49" s="1"/>
      <c r="M49" s="1"/>
      <c r="N49" s="1"/>
      <c r="O49" s="1"/>
      <c r="P49" s="1"/>
      <c r="Q49" s="1"/>
      <c r="R49" s="1"/>
      <c r="S49" s="1"/>
      <c r="T49" s="1"/>
    </row>
    <row r="50" spans="1:20" x14ac:dyDescent="0.35">
      <c r="A50" s="1"/>
      <c r="B50" s="1"/>
      <c r="C50" s="1"/>
      <c r="D50" s="1"/>
      <c r="E50" s="1"/>
      <c r="F50" s="1"/>
      <c r="G50" s="1"/>
      <c r="H50" s="1"/>
      <c r="I50" s="1"/>
      <c r="J50" s="1"/>
      <c r="K50" s="1"/>
      <c r="L50" s="1"/>
      <c r="M50" s="1"/>
      <c r="N50" s="1"/>
      <c r="O50" s="1"/>
      <c r="P50" s="1"/>
      <c r="Q50" s="1"/>
      <c r="R50" s="1"/>
      <c r="S50" s="1"/>
      <c r="T50" s="1"/>
    </row>
    <row r="51" spans="1:20" x14ac:dyDescent="0.35">
      <c r="A51" s="1"/>
      <c r="B51" s="1"/>
      <c r="C51" s="1"/>
      <c r="D51" s="1"/>
      <c r="E51" s="1"/>
      <c r="F51" s="1"/>
      <c r="G51" s="1"/>
      <c r="H51" s="1"/>
      <c r="I51" s="1"/>
      <c r="J51" s="1"/>
      <c r="K51" s="1"/>
      <c r="L51" s="1"/>
      <c r="M51" s="1"/>
      <c r="N51" s="1"/>
      <c r="O51" s="1"/>
      <c r="P51" s="1"/>
      <c r="Q51" s="1"/>
      <c r="R51" s="1"/>
      <c r="S51" s="1"/>
      <c r="T51" s="1"/>
    </row>
    <row r="52" spans="1:20" x14ac:dyDescent="0.35">
      <c r="A52" s="1"/>
      <c r="B52" s="1"/>
      <c r="C52" s="1"/>
      <c r="D52" s="1"/>
      <c r="E52" s="1"/>
      <c r="F52" s="1"/>
      <c r="G52" s="1"/>
      <c r="H52" s="1"/>
      <c r="I52" s="1"/>
      <c r="J52" s="1"/>
      <c r="K52" s="1"/>
      <c r="L52" s="1"/>
      <c r="M52" s="1"/>
      <c r="N52" s="1"/>
      <c r="O52" s="1"/>
      <c r="P52" s="1"/>
      <c r="Q52" s="1"/>
      <c r="R52" s="1"/>
      <c r="S52" s="1"/>
      <c r="T52" s="1"/>
    </row>
    <row r="53" spans="1:20" x14ac:dyDescent="0.35">
      <c r="A53" s="1"/>
      <c r="B53" s="1"/>
      <c r="C53" s="1"/>
      <c r="D53" s="1"/>
      <c r="E53" s="1"/>
      <c r="F53" s="1"/>
      <c r="G53" s="1"/>
      <c r="H53" s="1"/>
      <c r="I53" s="1"/>
      <c r="J53" s="1"/>
      <c r="K53" s="1"/>
      <c r="L53" s="1"/>
      <c r="M53" s="1"/>
      <c r="N53" s="1"/>
      <c r="O53" s="1"/>
      <c r="P53" s="1"/>
      <c r="Q53" s="1"/>
      <c r="R53" s="1"/>
      <c r="S53" s="1"/>
      <c r="T53" s="1"/>
    </row>
    <row r="54" spans="1:20" x14ac:dyDescent="0.35">
      <c r="A54" s="1"/>
      <c r="B54" s="1"/>
      <c r="C54" s="1"/>
      <c r="D54" s="1"/>
      <c r="E54" s="1"/>
      <c r="F54" s="1"/>
      <c r="G54" s="1"/>
      <c r="H54" s="1"/>
      <c r="I54" s="1"/>
      <c r="J54" s="1"/>
      <c r="K54" s="1"/>
      <c r="L54" s="1"/>
      <c r="M54" s="1"/>
      <c r="N54" s="1"/>
      <c r="O54" s="1"/>
      <c r="P54" s="1"/>
      <c r="Q54" s="1"/>
      <c r="R54" s="1"/>
      <c r="S54" s="1"/>
      <c r="T54" s="1"/>
    </row>
    <row r="55" spans="1:20" x14ac:dyDescent="0.35">
      <c r="A55" s="1"/>
      <c r="B55" s="1"/>
      <c r="C55" s="1"/>
      <c r="D55" s="1"/>
      <c r="E55" s="1"/>
      <c r="F55" s="1"/>
      <c r="G55" s="1"/>
      <c r="H55" s="1"/>
      <c r="I55" s="1"/>
      <c r="J55" s="1"/>
      <c r="K55" s="1"/>
      <c r="L55" s="1"/>
      <c r="M55" s="1"/>
      <c r="N55" s="1"/>
      <c r="O55" s="1"/>
      <c r="P55" s="1"/>
      <c r="Q55" s="1"/>
      <c r="R55" s="1"/>
      <c r="S55" s="1"/>
      <c r="T55" s="1"/>
    </row>
    <row r="56" spans="1:20" x14ac:dyDescent="0.35">
      <c r="A56" s="1"/>
      <c r="B56" s="1"/>
      <c r="C56" s="1"/>
      <c r="D56" s="1"/>
      <c r="E56" s="1"/>
      <c r="F56" s="1"/>
      <c r="G56" s="1"/>
      <c r="H56" s="1"/>
      <c r="I56" s="1"/>
      <c r="J56" s="1"/>
      <c r="K56" s="1"/>
      <c r="L56" s="1"/>
      <c r="M56" s="1"/>
      <c r="N56" s="1"/>
      <c r="O56" s="1"/>
      <c r="P56" s="1"/>
      <c r="Q56" s="1"/>
      <c r="R56" s="1"/>
      <c r="S56" s="1"/>
      <c r="T56" s="1"/>
    </row>
    <row r="57" spans="1:20" x14ac:dyDescent="0.35">
      <c r="A57" s="1"/>
      <c r="B57" s="1"/>
      <c r="C57" s="1"/>
      <c r="D57" s="1"/>
      <c r="E57" s="1"/>
      <c r="F57" s="1"/>
      <c r="G57" s="1"/>
      <c r="H57" s="1"/>
      <c r="I57" s="1"/>
      <c r="J57" s="1"/>
      <c r="K57" s="1"/>
      <c r="L57" s="1"/>
      <c r="M57" s="1"/>
      <c r="N57" s="1"/>
      <c r="O57" s="1"/>
      <c r="P57" s="1"/>
      <c r="Q57" s="1"/>
      <c r="R57" s="1"/>
      <c r="S57" s="1"/>
      <c r="T57" s="1"/>
    </row>
    <row r="58" spans="1:20" x14ac:dyDescent="0.35">
      <c r="A58" s="1"/>
      <c r="B58" s="1"/>
      <c r="C58" s="1"/>
      <c r="D58" s="1"/>
      <c r="E58" s="1"/>
      <c r="F58" s="1"/>
      <c r="G58" s="1"/>
      <c r="H58" s="1"/>
      <c r="I58" s="1"/>
      <c r="J58" s="1"/>
      <c r="K58" s="1"/>
      <c r="L58" s="1"/>
      <c r="M58" s="1"/>
      <c r="N58" s="1"/>
      <c r="O58" s="1"/>
      <c r="P58" s="1"/>
      <c r="Q58" s="1"/>
      <c r="R58" s="1"/>
      <c r="S58" s="1"/>
      <c r="T58" s="1"/>
    </row>
    <row r="59" spans="1:20" x14ac:dyDescent="0.35">
      <c r="A59" s="1"/>
      <c r="B59" s="1"/>
      <c r="C59" s="1"/>
      <c r="D59" s="1"/>
      <c r="E59" s="1"/>
      <c r="F59" s="1"/>
      <c r="G59" s="1"/>
      <c r="H59" s="1"/>
      <c r="I59" s="1"/>
      <c r="J59" s="1"/>
      <c r="K59" s="1"/>
      <c r="L59" s="1"/>
      <c r="M59" s="1"/>
      <c r="N59" s="1"/>
      <c r="O59" s="1"/>
      <c r="P59" s="1"/>
      <c r="Q59" s="1"/>
      <c r="R59" s="1"/>
      <c r="S59" s="1"/>
      <c r="T59" s="1"/>
    </row>
    <row r="60" spans="1:20" x14ac:dyDescent="0.35">
      <c r="A60" s="1"/>
      <c r="B60" s="1"/>
      <c r="C60" s="1"/>
      <c r="D60" s="1"/>
      <c r="E60" s="1"/>
      <c r="F60" s="1"/>
      <c r="G60" s="1"/>
      <c r="H60" s="1"/>
      <c r="I60" s="1"/>
      <c r="J60" s="1"/>
      <c r="K60" s="1"/>
      <c r="L60" s="1"/>
      <c r="M60" s="1"/>
      <c r="N60" s="1"/>
      <c r="O60" s="1"/>
      <c r="P60" s="1"/>
      <c r="Q60" s="1"/>
      <c r="R60" s="1"/>
      <c r="S60" s="1"/>
      <c r="T60" s="1"/>
    </row>
  </sheetData>
  <mergeCells count="284">
    <mergeCell ref="A1:T2"/>
    <mergeCell ref="A3:T3"/>
    <mergeCell ref="A5:T5"/>
    <mergeCell ref="A6:B6"/>
    <mergeCell ref="D6:E6"/>
    <mergeCell ref="G6:H6"/>
    <mergeCell ref="J6:K6"/>
    <mergeCell ref="M6:N6"/>
    <mergeCell ref="P6:Q6"/>
    <mergeCell ref="S6:T6"/>
    <mergeCell ref="A7:B8"/>
    <mergeCell ref="D7:E8"/>
    <mergeCell ref="G7:H8"/>
    <mergeCell ref="J7:K8"/>
    <mergeCell ref="M7:N8"/>
    <mergeCell ref="P7:Q8"/>
    <mergeCell ref="S7:T8"/>
    <mergeCell ref="A9:B9"/>
    <mergeCell ref="D9:E9"/>
    <mergeCell ref="G9:H9"/>
    <mergeCell ref="J9:K9"/>
    <mergeCell ref="M9:N9"/>
    <mergeCell ref="P9:Q9"/>
    <mergeCell ref="S9:T9"/>
    <mergeCell ref="A10:B11"/>
    <mergeCell ref="D10:E11"/>
    <mergeCell ref="G10:H11"/>
    <mergeCell ref="J10:K11"/>
    <mergeCell ref="M10:N11"/>
    <mergeCell ref="P10:Q11"/>
    <mergeCell ref="S10:T11"/>
    <mergeCell ref="A13:T13"/>
    <mergeCell ref="A14:B14"/>
    <mergeCell ref="C14:D14"/>
    <mergeCell ref="E14:F14"/>
    <mergeCell ref="G14:H14"/>
    <mergeCell ref="I14:J14"/>
    <mergeCell ref="K14:L14"/>
    <mergeCell ref="M14:N14"/>
    <mergeCell ref="O14:P14"/>
    <mergeCell ref="Q14:R14"/>
    <mergeCell ref="S14:T14"/>
    <mergeCell ref="S15:T15"/>
    <mergeCell ref="A16:B16"/>
    <mergeCell ref="C16:D16"/>
    <mergeCell ref="E16:F16"/>
    <mergeCell ref="G16:H16"/>
    <mergeCell ref="I16:J16"/>
    <mergeCell ref="K16:L16"/>
    <mergeCell ref="M16:N16"/>
    <mergeCell ref="O16:P16"/>
    <mergeCell ref="Q16:R16"/>
    <mergeCell ref="S16:T16"/>
    <mergeCell ref="A15:B15"/>
    <mergeCell ref="C15:D15"/>
    <mergeCell ref="E15:F15"/>
    <mergeCell ref="G15:H15"/>
    <mergeCell ref="I15:J15"/>
    <mergeCell ref="K15:L15"/>
    <mergeCell ref="M15:N15"/>
    <mergeCell ref="O15:P15"/>
    <mergeCell ref="Q15:R15"/>
    <mergeCell ref="S17:T17"/>
    <mergeCell ref="A18:B18"/>
    <mergeCell ref="C18:D18"/>
    <mergeCell ref="E18:F18"/>
    <mergeCell ref="G18:H18"/>
    <mergeCell ref="I18:J18"/>
    <mergeCell ref="K18:L18"/>
    <mergeCell ref="M18:N18"/>
    <mergeCell ref="O18:P18"/>
    <mergeCell ref="Q18:R18"/>
    <mergeCell ref="S18:T18"/>
    <mergeCell ref="A17:B17"/>
    <mergeCell ref="C17:D17"/>
    <mergeCell ref="E17:F17"/>
    <mergeCell ref="G17:H17"/>
    <mergeCell ref="I17:J17"/>
    <mergeCell ref="K17:L17"/>
    <mergeCell ref="M17:N17"/>
    <mergeCell ref="O17:P17"/>
    <mergeCell ref="Q17:R17"/>
    <mergeCell ref="S19:T19"/>
    <mergeCell ref="A20:B20"/>
    <mergeCell ref="C20:D20"/>
    <mergeCell ref="E20:F20"/>
    <mergeCell ref="G20:H20"/>
    <mergeCell ref="I20:J20"/>
    <mergeCell ref="K20:L20"/>
    <mergeCell ref="M20:N20"/>
    <mergeCell ref="O20:P20"/>
    <mergeCell ref="Q20:R20"/>
    <mergeCell ref="S20:T20"/>
    <mergeCell ref="A19:B19"/>
    <mergeCell ref="C19:D19"/>
    <mergeCell ref="E19:F19"/>
    <mergeCell ref="G19:H19"/>
    <mergeCell ref="I19:J19"/>
    <mergeCell ref="K19:L19"/>
    <mergeCell ref="M19:N19"/>
    <mergeCell ref="O19:P19"/>
    <mergeCell ref="Q19:R19"/>
    <mergeCell ref="S21:T21"/>
    <mergeCell ref="A22:B22"/>
    <mergeCell ref="C22:D22"/>
    <mergeCell ref="E22:F22"/>
    <mergeCell ref="G22:H22"/>
    <mergeCell ref="I22:J22"/>
    <mergeCell ref="K22:L22"/>
    <mergeCell ref="M22:N22"/>
    <mergeCell ref="O22:P22"/>
    <mergeCell ref="Q22:R22"/>
    <mergeCell ref="S22:T22"/>
    <mergeCell ref="A21:B21"/>
    <mergeCell ref="C21:D21"/>
    <mergeCell ref="E21:F21"/>
    <mergeCell ref="G21:H21"/>
    <mergeCell ref="I21:J21"/>
    <mergeCell ref="K21:L21"/>
    <mergeCell ref="M21:N21"/>
    <mergeCell ref="O21:P21"/>
    <mergeCell ref="Q21:R21"/>
    <mergeCell ref="S23:T23"/>
    <mergeCell ref="A24:B24"/>
    <mergeCell ref="C24:D24"/>
    <mergeCell ref="E24:F24"/>
    <mergeCell ref="G24:H24"/>
    <mergeCell ref="I24:J24"/>
    <mergeCell ref="K24:L24"/>
    <mergeCell ref="M24:N24"/>
    <mergeCell ref="O24:P24"/>
    <mergeCell ref="Q24:R24"/>
    <mergeCell ref="S24:T24"/>
    <mergeCell ref="A23:B23"/>
    <mergeCell ref="C23:D23"/>
    <mergeCell ref="E23:F23"/>
    <mergeCell ref="G23:H23"/>
    <mergeCell ref="I23:J23"/>
    <mergeCell ref="K23:L23"/>
    <mergeCell ref="M23:N23"/>
    <mergeCell ref="O23:P23"/>
    <mergeCell ref="Q23:R23"/>
    <mergeCell ref="S25:T25"/>
    <mergeCell ref="A26:B26"/>
    <mergeCell ref="C26:D26"/>
    <mergeCell ref="E26:F26"/>
    <mergeCell ref="G26:H26"/>
    <mergeCell ref="I26:J26"/>
    <mergeCell ref="K26:L26"/>
    <mergeCell ref="M26:N26"/>
    <mergeCell ref="O26:P26"/>
    <mergeCell ref="Q26:R26"/>
    <mergeCell ref="S26:T26"/>
    <mergeCell ref="A25:B25"/>
    <mergeCell ref="C25:D25"/>
    <mergeCell ref="E25:F25"/>
    <mergeCell ref="G25:H25"/>
    <mergeCell ref="I25:J25"/>
    <mergeCell ref="K25:L25"/>
    <mergeCell ref="M25:N25"/>
    <mergeCell ref="O25:P25"/>
    <mergeCell ref="Q25:R25"/>
    <mergeCell ref="S27:T27"/>
    <mergeCell ref="A29:J29"/>
    <mergeCell ref="L29:T29"/>
    <mergeCell ref="B30:C30"/>
    <mergeCell ref="D30:E30"/>
    <mergeCell ref="F30:G30"/>
    <mergeCell ref="H30:I30"/>
    <mergeCell ref="J30:K30"/>
    <mergeCell ref="L30:M30"/>
    <mergeCell ref="N30:O30"/>
    <mergeCell ref="P30:Q30"/>
    <mergeCell ref="R30:S30"/>
    <mergeCell ref="A27:B27"/>
    <mergeCell ref="C27:D27"/>
    <mergeCell ref="E27:F27"/>
    <mergeCell ref="G27:H27"/>
    <mergeCell ref="I27:J27"/>
    <mergeCell ref="K27:L27"/>
    <mergeCell ref="M27:N27"/>
    <mergeCell ref="O27:P27"/>
    <mergeCell ref="Q27:R27"/>
    <mergeCell ref="B31:C31"/>
    <mergeCell ref="D31:E31"/>
    <mergeCell ref="F31:G31"/>
    <mergeCell ref="H31:I31"/>
    <mergeCell ref="J31:K31"/>
    <mergeCell ref="L31:M31"/>
    <mergeCell ref="N31:O31"/>
    <mergeCell ref="P31:Q31"/>
    <mergeCell ref="R31:S31"/>
    <mergeCell ref="B32:C32"/>
    <mergeCell ref="D32:E32"/>
    <mergeCell ref="F32:G32"/>
    <mergeCell ref="H32:I32"/>
    <mergeCell ref="J32:K32"/>
    <mergeCell ref="L32:M32"/>
    <mergeCell ref="N32:O32"/>
    <mergeCell ref="P32:Q32"/>
    <mergeCell ref="R32:S32"/>
    <mergeCell ref="B33:C33"/>
    <mergeCell ref="D33:E33"/>
    <mergeCell ref="F33:G33"/>
    <mergeCell ref="H33:I33"/>
    <mergeCell ref="J33:K33"/>
    <mergeCell ref="L33:M33"/>
    <mergeCell ref="N33:O33"/>
    <mergeCell ref="P33:Q33"/>
    <mergeCell ref="R33:S33"/>
    <mergeCell ref="B34:C34"/>
    <mergeCell ref="D34:E34"/>
    <mergeCell ref="F34:G34"/>
    <mergeCell ref="H34:I34"/>
    <mergeCell ref="J34:K34"/>
    <mergeCell ref="L34:M34"/>
    <mergeCell ref="N34:O34"/>
    <mergeCell ref="P34:Q34"/>
    <mergeCell ref="R34:S34"/>
    <mergeCell ref="B35:C35"/>
    <mergeCell ref="D35:E35"/>
    <mergeCell ref="F35:G35"/>
    <mergeCell ref="H35:I35"/>
    <mergeCell ref="J35:K35"/>
    <mergeCell ref="L35:M35"/>
    <mergeCell ref="N35:O35"/>
    <mergeCell ref="P35:Q35"/>
    <mergeCell ref="R35:S35"/>
    <mergeCell ref="B36:C36"/>
    <mergeCell ref="D36:E36"/>
    <mergeCell ref="F36:G36"/>
    <mergeCell ref="H36:I36"/>
    <mergeCell ref="J36:K36"/>
    <mergeCell ref="B37:C37"/>
    <mergeCell ref="D37:E37"/>
    <mergeCell ref="F37:G37"/>
    <mergeCell ref="H37:I37"/>
    <mergeCell ref="J37:K37"/>
    <mergeCell ref="A39:J39"/>
    <mergeCell ref="L39:T39"/>
    <mergeCell ref="A40:B40"/>
    <mergeCell ref="C40:D40"/>
    <mergeCell ref="E40:F40"/>
    <mergeCell ref="G40:H40"/>
    <mergeCell ref="I40:J40"/>
    <mergeCell ref="L40:M40"/>
    <mergeCell ref="N40:O40"/>
    <mergeCell ref="P40:Q40"/>
    <mergeCell ref="R40:T40"/>
    <mergeCell ref="A41:B41"/>
    <mergeCell ref="C41:D41"/>
    <mergeCell ref="E41:F41"/>
    <mergeCell ref="G41:H41"/>
    <mergeCell ref="I41:J41"/>
    <mergeCell ref="L41:M41"/>
    <mergeCell ref="N41:O41"/>
    <mergeCell ref="P41:Q41"/>
    <mergeCell ref="R41:T41"/>
    <mergeCell ref="A42:B42"/>
    <mergeCell ref="C42:D42"/>
    <mergeCell ref="E42:F42"/>
    <mergeCell ref="G42:H42"/>
    <mergeCell ref="I42:J42"/>
    <mergeCell ref="L42:M42"/>
    <mergeCell ref="N42:O42"/>
    <mergeCell ref="P42:Q42"/>
    <mergeCell ref="R42:T42"/>
    <mergeCell ref="L44:M44"/>
    <mergeCell ref="N44:O44"/>
    <mergeCell ref="P44:Q44"/>
    <mergeCell ref="R44:T44"/>
    <mergeCell ref="L45:M45"/>
    <mergeCell ref="N45:O45"/>
    <mergeCell ref="P45:Q45"/>
    <mergeCell ref="R45:T45"/>
    <mergeCell ref="A43:B43"/>
    <mergeCell ref="C43:D43"/>
    <mergeCell ref="E43:F43"/>
    <mergeCell ref="G43:H43"/>
    <mergeCell ref="I43:J43"/>
    <mergeCell ref="L43:M43"/>
    <mergeCell ref="N43:O43"/>
    <mergeCell ref="P43:Q43"/>
    <mergeCell ref="R43:T4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75C8-5974-4643-945A-7B7347A40BD8}">
  <dimension ref="A1:U501"/>
  <sheetViews>
    <sheetView workbookViewId="0">
      <selection sqref="A1:U502"/>
    </sheetView>
  </sheetViews>
  <sheetFormatPr defaultRowHeight="14.5" x14ac:dyDescent="0.35"/>
  <cols>
    <col min="1" max="1" width="10" customWidth="1"/>
    <col min="2" max="2" width="15.7265625" customWidth="1"/>
    <col min="3" max="3" width="12.1796875" customWidth="1"/>
    <col min="4" max="4" width="14.1796875" customWidth="1"/>
    <col min="5" max="5" width="10.26953125" customWidth="1"/>
    <col min="8" max="8" width="9.6328125" customWidth="1"/>
    <col min="9" max="9" width="15.6328125" customWidth="1"/>
    <col min="10" max="10" width="9" customWidth="1"/>
    <col min="11" max="11" width="11.1796875" customWidth="1"/>
    <col min="12" max="12" width="13.6328125" customWidth="1"/>
    <col min="13" max="13" width="12.7265625" customWidth="1"/>
    <col min="14" max="14" width="13.36328125" customWidth="1"/>
    <col min="15" max="15" width="20.1796875" customWidth="1"/>
    <col min="16" max="16" width="16.1796875" customWidth="1"/>
    <col min="17" max="17" width="9.26953125" customWidth="1"/>
    <col min="18" max="18" width="15.453125" customWidth="1"/>
    <col min="19" max="19" width="9.36328125" customWidth="1"/>
    <col min="20" max="20" width="18.54296875" customWidth="1"/>
    <col min="21" max="21" width="16.7265625" customWidth="1"/>
  </cols>
  <sheetData>
    <row r="1" spans="1:21" x14ac:dyDescent="0.35">
      <c r="A1" t="s">
        <v>72</v>
      </c>
      <c r="B1" t="s">
        <v>73</v>
      </c>
      <c r="C1" t="s">
        <v>74</v>
      </c>
      <c r="D1" t="s">
        <v>75</v>
      </c>
      <c r="E1" t="s">
        <v>76</v>
      </c>
      <c r="F1" t="s">
        <v>77</v>
      </c>
      <c r="G1" t="s">
        <v>78</v>
      </c>
      <c r="H1" t="s">
        <v>79</v>
      </c>
      <c r="I1" t="s">
        <v>80</v>
      </c>
      <c r="J1" t="s">
        <v>81</v>
      </c>
      <c r="K1" t="s">
        <v>82</v>
      </c>
      <c r="L1" t="s">
        <v>83</v>
      </c>
      <c r="M1" t="s">
        <v>632</v>
      </c>
      <c r="N1" t="s">
        <v>84</v>
      </c>
      <c r="O1" t="s">
        <v>85</v>
      </c>
      <c r="P1" t="s">
        <v>86</v>
      </c>
      <c r="Q1" t="s">
        <v>87</v>
      </c>
      <c r="R1" t="s">
        <v>88</v>
      </c>
      <c r="S1" t="s">
        <v>89</v>
      </c>
      <c r="T1" t="s">
        <v>90</v>
      </c>
      <c r="U1" t="s">
        <v>91</v>
      </c>
    </row>
    <row r="2" spans="1:21" x14ac:dyDescent="0.35">
      <c r="A2" t="s">
        <v>92</v>
      </c>
      <c r="B2" t="s">
        <v>28</v>
      </c>
      <c r="C2" s="32">
        <v>44927</v>
      </c>
      <c r="D2" t="s">
        <v>93</v>
      </c>
      <c r="E2" t="s">
        <v>48</v>
      </c>
      <c r="F2" t="s">
        <v>94</v>
      </c>
      <c r="G2" t="s">
        <v>51</v>
      </c>
      <c r="H2" t="s">
        <v>66</v>
      </c>
      <c r="I2" t="s">
        <v>65</v>
      </c>
      <c r="J2" t="s">
        <v>95</v>
      </c>
      <c r="K2">
        <v>11</v>
      </c>
      <c r="L2">
        <v>3440</v>
      </c>
      <c r="M2">
        <v>37840</v>
      </c>
      <c r="N2">
        <v>50</v>
      </c>
      <c r="O2">
        <v>18920</v>
      </c>
      <c r="P2">
        <v>18920</v>
      </c>
      <c r="Q2">
        <v>13124</v>
      </c>
      <c r="R2">
        <v>5796</v>
      </c>
      <c r="S2">
        <v>0</v>
      </c>
      <c r="T2">
        <v>0</v>
      </c>
      <c r="U2">
        <v>4.9000000000000004</v>
      </c>
    </row>
    <row r="3" spans="1:21" x14ac:dyDescent="0.35">
      <c r="A3" t="s">
        <v>104</v>
      </c>
      <c r="B3" t="s">
        <v>28</v>
      </c>
      <c r="C3" s="32">
        <v>44934</v>
      </c>
      <c r="D3" t="s">
        <v>105</v>
      </c>
      <c r="E3" t="s">
        <v>54</v>
      </c>
      <c r="F3" t="s">
        <v>106</v>
      </c>
      <c r="G3" t="s">
        <v>49</v>
      </c>
      <c r="H3" t="s">
        <v>64</v>
      </c>
      <c r="I3" t="s">
        <v>65</v>
      </c>
      <c r="J3" t="s">
        <v>103</v>
      </c>
      <c r="K3">
        <v>5</v>
      </c>
      <c r="L3">
        <v>3253</v>
      </c>
      <c r="M3">
        <v>16265</v>
      </c>
      <c r="N3">
        <v>50</v>
      </c>
      <c r="O3">
        <v>8132</v>
      </c>
      <c r="P3">
        <v>8133</v>
      </c>
      <c r="Q3">
        <v>5220</v>
      </c>
      <c r="R3">
        <v>2913</v>
      </c>
      <c r="S3">
        <v>1</v>
      </c>
      <c r="T3">
        <v>1626</v>
      </c>
      <c r="U3">
        <v>4.3</v>
      </c>
    </row>
    <row r="4" spans="1:21" x14ac:dyDescent="0.35">
      <c r="A4" t="s">
        <v>107</v>
      </c>
      <c r="B4" t="s">
        <v>28</v>
      </c>
      <c r="C4" s="32">
        <v>44934</v>
      </c>
      <c r="D4" t="s">
        <v>105</v>
      </c>
      <c r="E4" t="s">
        <v>52</v>
      </c>
      <c r="F4" t="s">
        <v>108</v>
      </c>
      <c r="G4" t="s">
        <v>57</v>
      </c>
      <c r="H4" t="s">
        <v>64</v>
      </c>
      <c r="I4" t="s">
        <v>65</v>
      </c>
      <c r="J4" t="s">
        <v>95</v>
      </c>
      <c r="K4">
        <v>1</v>
      </c>
      <c r="L4">
        <v>4853</v>
      </c>
      <c r="M4">
        <v>4853</v>
      </c>
      <c r="N4">
        <v>40</v>
      </c>
      <c r="O4">
        <v>1941</v>
      </c>
      <c r="P4">
        <v>2912</v>
      </c>
      <c r="Q4">
        <v>1812</v>
      </c>
      <c r="R4">
        <v>1100</v>
      </c>
      <c r="S4">
        <v>0</v>
      </c>
      <c r="T4">
        <v>0</v>
      </c>
      <c r="U4">
        <v>3.4</v>
      </c>
    </row>
    <row r="5" spans="1:21" x14ac:dyDescent="0.35">
      <c r="A5" t="s">
        <v>132</v>
      </c>
      <c r="B5" t="s">
        <v>28</v>
      </c>
      <c r="C5" s="32">
        <v>44946</v>
      </c>
      <c r="D5" t="s">
        <v>97</v>
      </c>
      <c r="E5" t="s">
        <v>50</v>
      </c>
      <c r="F5" t="s">
        <v>94</v>
      </c>
      <c r="G5" t="s">
        <v>51</v>
      </c>
      <c r="H5" t="s">
        <v>64</v>
      </c>
      <c r="I5" t="s">
        <v>65</v>
      </c>
      <c r="J5" t="s">
        <v>99</v>
      </c>
      <c r="K5">
        <v>15</v>
      </c>
      <c r="L5">
        <v>2049</v>
      </c>
      <c r="M5">
        <v>30735</v>
      </c>
      <c r="N5">
        <v>25</v>
      </c>
      <c r="O5">
        <v>7684</v>
      </c>
      <c r="P5">
        <v>23051</v>
      </c>
      <c r="Q5">
        <v>15083</v>
      </c>
      <c r="R5">
        <v>7968</v>
      </c>
      <c r="S5">
        <v>2</v>
      </c>
      <c r="T5">
        <v>3074</v>
      </c>
      <c r="U5">
        <v>3.3</v>
      </c>
    </row>
    <row r="6" spans="1:21" x14ac:dyDescent="0.35">
      <c r="A6" t="s">
        <v>138</v>
      </c>
      <c r="B6" t="s">
        <v>28</v>
      </c>
      <c r="C6" s="32">
        <v>44952</v>
      </c>
      <c r="D6" t="s">
        <v>113</v>
      </c>
      <c r="E6" t="s">
        <v>56</v>
      </c>
      <c r="F6" t="s">
        <v>98</v>
      </c>
      <c r="G6" t="s">
        <v>53</v>
      </c>
      <c r="H6" t="s">
        <v>68</v>
      </c>
      <c r="I6" t="s">
        <v>65</v>
      </c>
      <c r="J6" t="s">
        <v>99</v>
      </c>
      <c r="K6">
        <v>10</v>
      </c>
      <c r="L6">
        <v>2377</v>
      </c>
      <c r="M6">
        <v>23770</v>
      </c>
      <c r="N6">
        <v>20</v>
      </c>
      <c r="O6">
        <v>4754</v>
      </c>
      <c r="P6">
        <v>19016</v>
      </c>
      <c r="Q6">
        <v>9582</v>
      </c>
      <c r="R6">
        <v>9434</v>
      </c>
      <c r="S6">
        <v>2</v>
      </c>
      <c r="T6">
        <v>3803</v>
      </c>
      <c r="U6">
        <v>2.8</v>
      </c>
    </row>
    <row r="7" spans="1:21" x14ac:dyDescent="0.35">
      <c r="A7" t="s">
        <v>139</v>
      </c>
      <c r="B7" t="s">
        <v>28</v>
      </c>
      <c r="C7" s="32">
        <v>44952</v>
      </c>
      <c r="D7" t="s">
        <v>115</v>
      </c>
      <c r="E7" t="s">
        <v>52</v>
      </c>
      <c r="F7" t="s">
        <v>134</v>
      </c>
      <c r="G7" t="s">
        <v>55</v>
      </c>
      <c r="H7" t="s">
        <v>66</v>
      </c>
      <c r="I7" t="s">
        <v>65</v>
      </c>
      <c r="J7" t="s">
        <v>99</v>
      </c>
      <c r="K7">
        <v>1</v>
      </c>
      <c r="L7">
        <v>2098</v>
      </c>
      <c r="M7">
        <v>2098</v>
      </c>
      <c r="N7">
        <v>30</v>
      </c>
      <c r="O7">
        <v>629</v>
      </c>
      <c r="P7">
        <v>1469</v>
      </c>
      <c r="Q7">
        <v>725</v>
      </c>
      <c r="R7">
        <v>744</v>
      </c>
      <c r="S7">
        <v>0</v>
      </c>
      <c r="T7">
        <v>0</v>
      </c>
      <c r="U7">
        <v>4.8</v>
      </c>
    </row>
    <row r="8" spans="1:21" x14ac:dyDescent="0.35">
      <c r="A8" t="s">
        <v>146</v>
      </c>
      <c r="B8" t="s">
        <v>29</v>
      </c>
      <c r="C8" s="32">
        <v>44961</v>
      </c>
      <c r="D8" t="s">
        <v>131</v>
      </c>
      <c r="E8" t="s">
        <v>50</v>
      </c>
      <c r="F8" t="s">
        <v>106</v>
      </c>
      <c r="G8" t="s">
        <v>51</v>
      </c>
      <c r="H8" t="s">
        <v>68</v>
      </c>
      <c r="I8" t="s">
        <v>65</v>
      </c>
      <c r="J8" t="s">
        <v>99</v>
      </c>
      <c r="K8">
        <v>9</v>
      </c>
      <c r="L8">
        <v>2817</v>
      </c>
      <c r="M8">
        <v>25353</v>
      </c>
      <c r="N8">
        <v>20</v>
      </c>
      <c r="O8">
        <v>5071</v>
      </c>
      <c r="P8">
        <v>20282</v>
      </c>
      <c r="Q8">
        <v>10386</v>
      </c>
      <c r="R8">
        <v>9896</v>
      </c>
      <c r="S8">
        <v>0</v>
      </c>
      <c r="T8">
        <v>0</v>
      </c>
      <c r="U8">
        <v>3.5</v>
      </c>
    </row>
    <row r="9" spans="1:21" x14ac:dyDescent="0.35">
      <c r="A9" t="s">
        <v>150</v>
      </c>
      <c r="B9" t="s">
        <v>29</v>
      </c>
      <c r="C9" s="32">
        <v>44963</v>
      </c>
      <c r="D9" t="s">
        <v>113</v>
      </c>
      <c r="E9" t="s">
        <v>50</v>
      </c>
      <c r="F9" t="s">
        <v>151</v>
      </c>
      <c r="G9" t="s">
        <v>55</v>
      </c>
      <c r="H9" t="s">
        <v>64</v>
      </c>
      <c r="I9" t="s">
        <v>65</v>
      </c>
      <c r="J9" t="s">
        <v>95</v>
      </c>
      <c r="K9">
        <v>14</v>
      </c>
      <c r="L9">
        <v>1770</v>
      </c>
      <c r="M9">
        <v>24780</v>
      </c>
      <c r="N9">
        <v>30</v>
      </c>
      <c r="O9">
        <v>7434</v>
      </c>
      <c r="P9">
        <v>17346</v>
      </c>
      <c r="Q9">
        <v>10292</v>
      </c>
      <c r="R9">
        <v>7054</v>
      </c>
      <c r="S9">
        <v>3</v>
      </c>
      <c r="T9">
        <v>3717</v>
      </c>
      <c r="U9">
        <v>3.2</v>
      </c>
    </row>
    <row r="10" spans="1:21" x14ac:dyDescent="0.35">
      <c r="A10" t="s">
        <v>153</v>
      </c>
      <c r="B10" t="s">
        <v>29</v>
      </c>
      <c r="C10" s="32">
        <v>44963</v>
      </c>
      <c r="D10" t="s">
        <v>113</v>
      </c>
      <c r="E10" t="s">
        <v>54</v>
      </c>
      <c r="F10" t="s">
        <v>134</v>
      </c>
      <c r="G10" t="s">
        <v>53</v>
      </c>
      <c r="H10" t="s">
        <v>66</v>
      </c>
      <c r="I10" t="s">
        <v>65</v>
      </c>
      <c r="J10" t="s">
        <v>95</v>
      </c>
      <c r="K10">
        <v>3</v>
      </c>
      <c r="L10">
        <v>435</v>
      </c>
      <c r="M10">
        <v>1305</v>
      </c>
      <c r="N10">
        <v>0</v>
      </c>
      <c r="O10">
        <v>0</v>
      </c>
      <c r="P10">
        <v>1305</v>
      </c>
      <c r="Q10">
        <v>622</v>
      </c>
      <c r="R10">
        <v>683</v>
      </c>
      <c r="S10">
        <v>0</v>
      </c>
      <c r="T10">
        <v>0</v>
      </c>
      <c r="U10">
        <v>2.7</v>
      </c>
    </row>
    <row r="11" spans="1:21" x14ac:dyDescent="0.35">
      <c r="A11" t="s">
        <v>168</v>
      </c>
      <c r="B11" t="s">
        <v>29</v>
      </c>
      <c r="C11" s="32">
        <v>44974</v>
      </c>
      <c r="D11" t="s">
        <v>131</v>
      </c>
      <c r="E11" t="s">
        <v>50</v>
      </c>
      <c r="F11" t="s">
        <v>116</v>
      </c>
      <c r="G11" t="s">
        <v>55</v>
      </c>
      <c r="H11" t="s">
        <v>66</v>
      </c>
      <c r="I11" t="s">
        <v>65</v>
      </c>
      <c r="J11" t="s">
        <v>95</v>
      </c>
      <c r="K11">
        <v>11</v>
      </c>
      <c r="L11">
        <v>343</v>
      </c>
      <c r="M11">
        <v>3773</v>
      </c>
      <c r="N11">
        <v>10</v>
      </c>
      <c r="O11">
        <v>377</v>
      </c>
      <c r="P11">
        <v>3396</v>
      </c>
      <c r="Q11">
        <v>1598</v>
      </c>
      <c r="R11">
        <v>1798</v>
      </c>
      <c r="S11">
        <v>1</v>
      </c>
      <c r="T11">
        <v>309</v>
      </c>
      <c r="U11">
        <v>4.0999999999999996</v>
      </c>
    </row>
    <row r="12" spans="1:21" x14ac:dyDescent="0.35">
      <c r="A12" t="s">
        <v>169</v>
      </c>
      <c r="B12" t="s">
        <v>29</v>
      </c>
      <c r="C12" s="32">
        <v>44974</v>
      </c>
      <c r="D12" t="s">
        <v>142</v>
      </c>
      <c r="E12" t="s">
        <v>54</v>
      </c>
      <c r="F12" t="s">
        <v>94</v>
      </c>
      <c r="G12" t="s">
        <v>51</v>
      </c>
      <c r="H12" t="s">
        <v>64</v>
      </c>
      <c r="I12" t="s">
        <v>65</v>
      </c>
      <c r="J12" t="s">
        <v>99</v>
      </c>
      <c r="K12">
        <v>8</v>
      </c>
      <c r="L12">
        <v>1577</v>
      </c>
      <c r="M12">
        <v>12616</v>
      </c>
      <c r="N12">
        <v>30</v>
      </c>
      <c r="O12">
        <v>3785</v>
      </c>
      <c r="P12">
        <v>8831</v>
      </c>
      <c r="Q12">
        <v>5497</v>
      </c>
      <c r="R12">
        <v>3334</v>
      </c>
      <c r="S12">
        <v>1</v>
      </c>
      <c r="T12">
        <v>1104</v>
      </c>
      <c r="U12">
        <v>4.5</v>
      </c>
    </row>
    <row r="13" spans="1:21" x14ac:dyDescent="0.35">
      <c r="A13" t="s">
        <v>171</v>
      </c>
      <c r="B13" t="s">
        <v>29</v>
      </c>
      <c r="C13" s="32">
        <v>44975</v>
      </c>
      <c r="D13" t="s">
        <v>105</v>
      </c>
      <c r="E13" t="s">
        <v>59</v>
      </c>
      <c r="F13" t="s">
        <v>116</v>
      </c>
      <c r="G13" t="s">
        <v>53</v>
      </c>
      <c r="H13" t="s">
        <v>68</v>
      </c>
      <c r="I13" t="s">
        <v>65</v>
      </c>
      <c r="J13" t="s">
        <v>99</v>
      </c>
      <c r="K13">
        <v>14</v>
      </c>
      <c r="L13">
        <v>3726</v>
      </c>
      <c r="M13">
        <v>52164</v>
      </c>
      <c r="N13">
        <v>5</v>
      </c>
      <c r="O13">
        <v>2608</v>
      </c>
      <c r="P13">
        <v>49556</v>
      </c>
      <c r="Q13">
        <v>23051</v>
      </c>
      <c r="R13">
        <v>26505</v>
      </c>
      <c r="S13">
        <v>2</v>
      </c>
      <c r="T13">
        <v>7079</v>
      </c>
      <c r="U13">
        <v>4.5</v>
      </c>
    </row>
    <row r="14" spans="1:21" x14ac:dyDescent="0.35">
      <c r="A14" t="s">
        <v>178</v>
      </c>
      <c r="B14" t="s">
        <v>29</v>
      </c>
      <c r="C14" s="32">
        <v>44979</v>
      </c>
      <c r="D14" t="s">
        <v>105</v>
      </c>
      <c r="E14" t="s">
        <v>58</v>
      </c>
      <c r="F14" t="s">
        <v>151</v>
      </c>
      <c r="G14" t="s">
        <v>57</v>
      </c>
      <c r="H14" t="s">
        <v>68</v>
      </c>
      <c r="I14" t="s">
        <v>65</v>
      </c>
      <c r="J14" t="s">
        <v>99</v>
      </c>
      <c r="K14">
        <v>8</v>
      </c>
      <c r="L14">
        <v>1900</v>
      </c>
      <c r="M14">
        <v>15200</v>
      </c>
      <c r="N14">
        <v>0</v>
      </c>
      <c r="O14">
        <v>0</v>
      </c>
      <c r="P14">
        <v>15200</v>
      </c>
      <c r="Q14">
        <v>7799</v>
      </c>
      <c r="R14">
        <v>7401</v>
      </c>
      <c r="S14">
        <v>1</v>
      </c>
      <c r="T14">
        <v>1900</v>
      </c>
      <c r="U14">
        <v>2.8</v>
      </c>
    </row>
    <row r="15" spans="1:21" x14ac:dyDescent="0.35">
      <c r="A15" t="s">
        <v>179</v>
      </c>
      <c r="B15" t="s">
        <v>29</v>
      </c>
      <c r="C15" s="32">
        <v>44979</v>
      </c>
      <c r="D15" t="s">
        <v>122</v>
      </c>
      <c r="E15" t="s">
        <v>52</v>
      </c>
      <c r="F15" t="s">
        <v>98</v>
      </c>
      <c r="G15" t="s">
        <v>51</v>
      </c>
      <c r="H15" t="s">
        <v>68</v>
      </c>
      <c r="I15" t="s">
        <v>65</v>
      </c>
      <c r="J15" t="s">
        <v>103</v>
      </c>
      <c r="K15">
        <v>9</v>
      </c>
      <c r="L15">
        <v>2707</v>
      </c>
      <c r="M15">
        <v>24363</v>
      </c>
      <c r="N15">
        <v>5</v>
      </c>
      <c r="O15">
        <v>1218</v>
      </c>
      <c r="P15">
        <v>23145</v>
      </c>
      <c r="Q15">
        <v>10567</v>
      </c>
      <c r="R15">
        <v>12578</v>
      </c>
      <c r="S15">
        <v>1</v>
      </c>
      <c r="T15">
        <v>2572</v>
      </c>
      <c r="U15">
        <v>3.9</v>
      </c>
    </row>
    <row r="16" spans="1:21" x14ac:dyDescent="0.35">
      <c r="A16" t="s">
        <v>184</v>
      </c>
      <c r="B16" t="s">
        <v>29</v>
      </c>
      <c r="C16" s="32">
        <v>44981</v>
      </c>
      <c r="D16" t="s">
        <v>105</v>
      </c>
      <c r="E16" t="s">
        <v>56</v>
      </c>
      <c r="F16" t="s">
        <v>94</v>
      </c>
      <c r="G16" t="s">
        <v>55</v>
      </c>
      <c r="H16" t="s">
        <v>64</v>
      </c>
      <c r="I16" t="s">
        <v>65</v>
      </c>
      <c r="J16" t="s">
        <v>103</v>
      </c>
      <c r="K16">
        <v>4</v>
      </c>
      <c r="L16">
        <v>957</v>
      </c>
      <c r="M16">
        <v>3828</v>
      </c>
      <c r="N16">
        <v>15</v>
      </c>
      <c r="O16">
        <v>574</v>
      </c>
      <c r="P16">
        <v>3254</v>
      </c>
      <c r="Q16">
        <v>1485</v>
      </c>
      <c r="R16">
        <v>1769</v>
      </c>
      <c r="S16">
        <v>0</v>
      </c>
      <c r="T16">
        <v>0</v>
      </c>
      <c r="U16">
        <v>3.7</v>
      </c>
    </row>
    <row r="17" spans="1:21" x14ac:dyDescent="0.35">
      <c r="A17" t="s">
        <v>185</v>
      </c>
      <c r="B17" t="s">
        <v>29</v>
      </c>
      <c r="C17" s="32">
        <v>44982</v>
      </c>
      <c r="D17" t="s">
        <v>97</v>
      </c>
      <c r="E17" t="s">
        <v>52</v>
      </c>
      <c r="F17" t="s">
        <v>98</v>
      </c>
      <c r="G17" t="s">
        <v>51</v>
      </c>
      <c r="H17" t="s">
        <v>68</v>
      </c>
      <c r="I17" t="s">
        <v>65</v>
      </c>
      <c r="J17" t="s">
        <v>99</v>
      </c>
      <c r="K17">
        <v>7</v>
      </c>
      <c r="L17">
        <v>866</v>
      </c>
      <c r="M17">
        <v>6062</v>
      </c>
      <c r="N17">
        <v>25</v>
      </c>
      <c r="O17">
        <v>1516</v>
      </c>
      <c r="P17">
        <v>4546</v>
      </c>
      <c r="Q17">
        <v>3142</v>
      </c>
      <c r="R17">
        <v>1404</v>
      </c>
      <c r="S17">
        <v>0</v>
      </c>
      <c r="T17">
        <v>0</v>
      </c>
      <c r="U17">
        <v>3.6</v>
      </c>
    </row>
    <row r="18" spans="1:21" x14ac:dyDescent="0.35">
      <c r="A18" t="s">
        <v>190</v>
      </c>
      <c r="B18" t="s">
        <v>29</v>
      </c>
      <c r="C18" s="32">
        <v>44984</v>
      </c>
      <c r="D18" t="s">
        <v>122</v>
      </c>
      <c r="E18" t="s">
        <v>52</v>
      </c>
      <c r="F18" t="s">
        <v>151</v>
      </c>
      <c r="G18" t="s">
        <v>51</v>
      </c>
      <c r="H18" t="s">
        <v>64</v>
      </c>
      <c r="I18" t="s">
        <v>65</v>
      </c>
      <c r="J18" t="s">
        <v>103</v>
      </c>
      <c r="K18">
        <v>8</v>
      </c>
      <c r="L18">
        <v>4070</v>
      </c>
      <c r="M18">
        <v>32560</v>
      </c>
      <c r="N18">
        <v>40</v>
      </c>
      <c r="O18">
        <v>13024</v>
      </c>
      <c r="P18">
        <v>19536</v>
      </c>
      <c r="Q18">
        <v>9676</v>
      </c>
      <c r="R18">
        <v>9860</v>
      </c>
      <c r="S18">
        <v>1</v>
      </c>
      <c r="T18">
        <v>2442</v>
      </c>
      <c r="U18">
        <v>4.4000000000000004</v>
      </c>
    </row>
    <row r="19" spans="1:21" x14ac:dyDescent="0.35">
      <c r="A19" t="s">
        <v>196</v>
      </c>
      <c r="B19" t="s">
        <v>30</v>
      </c>
      <c r="C19" s="32">
        <v>44992</v>
      </c>
      <c r="D19" t="s">
        <v>97</v>
      </c>
      <c r="E19" t="s">
        <v>56</v>
      </c>
      <c r="F19" t="s">
        <v>102</v>
      </c>
      <c r="G19" t="s">
        <v>49</v>
      </c>
      <c r="H19" t="s">
        <v>66</v>
      </c>
      <c r="I19" t="s">
        <v>65</v>
      </c>
      <c r="J19" t="s">
        <v>103</v>
      </c>
      <c r="K19">
        <v>6</v>
      </c>
      <c r="L19">
        <v>385</v>
      </c>
      <c r="M19">
        <v>2310</v>
      </c>
      <c r="N19">
        <v>20</v>
      </c>
      <c r="O19">
        <v>462</v>
      </c>
      <c r="P19">
        <v>1848</v>
      </c>
      <c r="Q19">
        <v>915</v>
      </c>
      <c r="R19">
        <v>933</v>
      </c>
      <c r="S19">
        <v>0</v>
      </c>
      <c r="T19">
        <v>0</v>
      </c>
      <c r="U19">
        <v>3.4</v>
      </c>
    </row>
    <row r="20" spans="1:21" x14ac:dyDescent="0.35">
      <c r="A20" t="s">
        <v>199</v>
      </c>
      <c r="B20" t="s">
        <v>30</v>
      </c>
      <c r="C20" s="32">
        <v>44993</v>
      </c>
      <c r="D20" t="s">
        <v>131</v>
      </c>
      <c r="E20" t="s">
        <v>48</v>
      </c>
      <c r="F20" t="s">
        <v>98</v>
      </c>
      <c r="G20" t="s">
        <v>49</v>
      </c>
      <c r="H20" t="s">
        <v>68</v>
      </c>
      <c r="I20" t="s">
        <v>65</v>
      </c>
      <c r="J20" t="s">
        <v>103</v>
      </c>
      <c r="K20">
        <v>12</v>
      </c>
      <c r="L20">
        <v>2549</v>
      </c>
      <c r="M20">
        <v>30588</v>
      </c>
      <c r="N20">
        <v>30</v>
      </c>
      <c r="O20">
        <v>9176</v>
      </c>
      <c r="P20">
        <v>21412</v>
      </c>
      <c r="Q20">
        <v>13753</v>
      </c>
      <c r="R20">
        <v>7659</v>
      </c>
      <c r="S20">
        <v>0</v>
      </c>
      <c r="T20">
        <v>0</v>
      </c>
      <c r="U20">
        <v>2.8</v>
      </c>
    </row>
    <row r="21" spans="1:21" x14ac:dyDescent="0.35">
      <c r="A21" t="s">
        <v>200</v>
      </c>
      <c r="B21" t="s">
        <v>30</v>
      </c>
      <c r="C21" s="32">
        <v>44993</v>
      </c>
      <c r="D21" t="s">
        <v>131</v>
      </c>
      <c r="E21" t="s">
        <v>48</v>
      </c>
      <c r="F21" t="s">
        <v>116</v>
      </c>
      <c r="G21" t="s">
        <v>55</v>
      </c>
      <c r="H21" t="s">
        <v>68</v>
      </c>
      <c r="I21" t="s">
        <v>65</v>
      </c>
      <c r="J21" t="s">
        <v>99</v>
      </c>
      <c r="K21">
        <v>7</v>
      </c>
      <c r="L21">
        <v>321</v>
      </c>
      <c r="M21">
        <v>2247</v>
      </c>
      <c r="N21">
        <v>50</v>
      </c>
      <c r="O21">
        <v>1124</v>
      </c>
      <c r="P21">
        <v>1123</v>
      </c>
      <c r="Q21">
        <v>561</v>
      </c>
      <c r="R21">
        <v>562</v>
      </c>
      <c r="S21">
        <v>1</v>
      </c>
      <c r="T21">
        <v>160</v>
      </c>
      <c r="U21">
        <v>4.9000000000000004</v>
      </c>
    </row>
    <row r="22" spans="1:21" x14ac:dyDescent="0.35">
      <c r="A22" t="s">
        <v>218</v>
      </c>
      <c r="B22" t="s">
        <v>30</v>
      </c>
      <c r="C22" s="32">
        <v>45012</v>
      </c>
      <c r="D22" t="s">
        <v>131</v>
      </c>
      <c r="E22" t="s">
        <v>59</v>
      </c>
      <c r="F22" t="s">
        <v>151</v>
      </c>
      <c r="G22" t="s">
        <v>53</v>
      </c>
      <c r="H22" t="s">
        <v>68</v>
      </c>
      <c r="I22" t="s">
        <v>65</v>
      </c>
      <c r="J22" t="s">
        <v>103</v>
      </c>
      <c r="K22">
        <v>9</v>
      </c>
      <c r="L22">
        <v>3102</v>
      </c>
      <c r="M22">
        <v>27918</v>
      </c>
      <c r="N22">
        <v>25</v>
      </c>
      <c r="O22">
        <v>6980</v>
      </c>
      <c r="P22">
        <v>20938</v>
      </c>
      <c r="Q22">
        <v>11692</v>
      </c>
      <c r="R22">
        <v>9246</v>
      </c>
      <c r="S22">
        <v>2</v>
      </c>
      <c r="T22">
        <v>4653</v>
      </c>
      <c r="U22">
        <v>5</v>
      </c>
    </row>
    <row r="23" spans="1:21" x14ac:dyDescent="0.35">
      <c r="A23" t="s">
        <v>220</v>
      </c>
      <c r="B23" t="s">
        <v>30</v>
      </c>
      <c r="C23" s="32">
        <v>45013</v>
      </c>
      <c r="D23" t="s">
        <v>131</v>
      </c>
      <c r="E23" t="s">
        <v>58</v>
      </c>
      <c r="F23" t="s">
        <v>124</v>
      </c>
      <c r="G23" t="s">
        <v>57</v>
      </c>
      <c r="H23" t="s">
        <v>66</v>
      </c>
      <c r="I23" t="s">
        <v>65</v>
      </c>
      <c r="J23" t="s">
        <v>103</v>
      </c>
      <c r="K23">
        <v>9</v>
      </c>
      <c r="L23">
        <v>831</v>
      </c>
      <c r="M23">
        <v>7479</v>
      </c>
      <c r="N23">
        <v>5</v>
      </c>
      <c r="O23">
        <v>374</v>
      </c>
      <c r="P23">
        <v>7105</v>
      </c>
      <c r="Q23">
        <v>3673</v>
      </c>
      <c r="R23">
        <v>3432</v>
      </c>
      <c r="S23">
        <v>2</v>
      </c>
      <c r="T23">
        <v>1579</v>
      </c>
      <c r="U23">
        <v>4.5999999999999996</v>
      </c>
    </row>
    <row r="24" spans="1:21" x14ac:dyDescent="0.35">
      <c r="A24" t="s">
        <v>223</v>
      </c>
      <c r="B24" t="s">
        <v>31</v>
      </c>
      <c r="C24" s="32">
        <v>45017</v>
      </c>
      <c r="D24" t="s">
        <v>122</v>
      </c>
      <c r="E24" t="s">
        <v>50</v>
      </c>
      <c r="F24" t="s">
        <v>94</v>
      </c>
      <c r="G24" t="s">
        <v>53</v>
      </c>
      <c r="H24" t="s">
        <v>66</v>
      </c>
      <c r="I24" t="s">
        <v>65</v>
      </c>
      <c r="J24" t="s">
        <v>103</v>
      </c>
      <c r="K24">
        <v>13</v>
      </c>
      <c r="L24">
        <v>1438</v>
      </c>
      <c r="M24">
        <v>18694</v>
      </c>
      <c r="N24">
        <v>30</v>
      </c>
      <c r="O24">
        <v>5608</v>
      </c>
      <c r="P24">
        <v>13086</v>
      </c>
      <c r="Q24">
        <v>6806</v>
      </c>
      <c r="R24">
        <v>6280</v>
      </c>
      <c r="S24">
        <v>3</v>
      </c>
      <c r="T24">
        <v>3020</v>
      </c>
      <c r="U24">
        <v>3.4</v>
      </c>
    </row>
    <row r="25" spans="1:21" x14ac:dyDescent="0.35">
      <c r="A25" t="s">
        <v>225</v>
      </c>
      <c r="B25" t="s">
        <v>31</v>
      </c>
      <c r="C25" s="32">
        <v>45018</v>
      </c>
      <c r="D25" t="s">
        <v>105</v>
      </c>
      <c r="E25" t="s">
        <v>58</v>
      </c>
      <c r="F25" t="s">
        <v>151</v>
      </c>
      <c r="G25" t="s">
        <v>57</v>
      </c>
      <c r="H25" t="s">
        <v>66</v>
      </c>
      <c r="I25" t="s">
        <v>65</v>
      </c>
      <c r="J25" t="s">
        <v>95</v>
      </c>
      <c r="K25">
        <v>6</v>
      </c>
      <c r="L25">
        <v>1466</v>
      </c>
      <c r="M25">
        <v>8796</v>
      </c>
      <c r="N25">
        <v>25</v>
      </c>
      <c r="O25">
        <v>2199</v>
      </c>
      <c r="P25">
        <v>6597</v>
      </c>
      <c r="Q25">
        <v>3416</v>
      </c>
      <c r="R25">
        <v>3181</v>
      </c>
      <c r="S25">
        <v>0</v>
      </c>
      <c r="T25">
        <v>0</v>
      </c>
      <c r="U25">
        <v>3.9</v>
      </c>
    </row>
    <row r="26" spans="1:21" x14ac:dyDescent="0.35">
      <c r="A26" t="s">
        <v>227</v>
      </c>
      <c r="B26" t="s">
        <v>31</v>
      </c>
      <c r="C26" s="32">
        <v>45018</v>
      </c>
      <c r="D26" t="s">
        <v>101</v>
      </c>
      <c r="E26" t="s">
        <v>58</v>
      </c>
      <c r="F26" t="s">
        <v>151</v>
      </c>
      <c r="G26" t="s">
        <v>51</v>
      </c>
      <c r="H26" t="s">
        <v>64</v>
      </c>
      <c r="I26" t="s">
        <v>65</v>
      </c>
      <c r="J26" t="s">
        <v>95</v>
      </c>
      <c r="K26">
        <v>2</v>
      </c>
      <c r="L26">
        <v>449</v>
      </c>
      <c r="M26">
        <v>898</v>
      </c>
      <c r="N26">
        <v>30</v>
      </c>
      <c r="O26">
        <v>269</v>
      </c>
      <c r="P26">
        <v>629</v>
      </c>
      <c r="Q26">
        <v>387</v>
      </c>
      <c r="R26">
        <v>242</v>
      </c>
      <c r="S26">
        <v>1</v>
      </c>
      <c r="T26">
        <v>314</v>
      </c>
      <c r="U26">
        <v>2.6</v>
      </c>
    </row>
    <row r="27" spans="1:21" x14ac:dyDescent="0.35">
      <c r="A27" t="s">
        <v>229</v>
      </c>
      <c r="B27" t="s">
        <v>31</v>
      </c>
      <c r="C27" s="32">
        <v>45018</v>
      </c>
      <c r="D27" t="s">
        <v>97</v>
      </c>
      <c r="E27" t="s">
        <v>56</v>
      </c>
      <c r="F27" t="s">
        <v>134</v>
      </c>
      <c r="G27" t="s">
        <v>57</v>
      </c>
      <c r="H27" t="s">
        <v>66</v>
      </c>
      <c r="I27" t="s">
        <v>65</v>
      </c>
      <c r="J27" t="s">
        <v>103</v>
      </c>
      <c r="K27">
        <v>6</v>
      </c>
      <c r="L27">
        <v>1767</v>
      </c>
      <c r="M27">
        <v>10602</v>
      </c>
      <c r="N27">
        <v>15</v>
      </c>
      <c r="O27">
        <v>1590</v>
      </c>
      <c r="P27">
        <v>9012</v>
      </c>
      <c r="Q27">
        <v>5662</v>
      </c>
      <c r="R27">
        <v>3350</v>
      </c>
      <c r="S27">
        <v>0</v>
      </c>
      <c r="T27">
        <v>0</v>
      </c>
      <c r="U27">
        <v>4.9000000000000004</v>
      </c>
    </row>
    <row r="28" spans="1:21" x14ac:dyDescent="0.35">
      <c r="A28" t="s">
        <v>231</v>
      </c>
      <c r="B28" t="s">
        <v>31</v>
      </c>
      <c r="C28" s="32">
        <v>45021</v>
      </c>
      <c r="D28" t="s">
        <v>131</v>
      </c>
      <c r="E28" t="s">
        <v>59</v>
      </c>
      <c r="F28" t="s">
        <v>111</v>
      </c>
      <c r="G28" t="s">
        <v>53</v>
      </c>
      <c r="H28" t="s">
        <v>68</v>
      </c>
      <c r="I28" t="s">
        <v>65</v>
      </c>
      <c r="J28" t="s">
        <v>103</v>
      </c>
      <c r="K28">
        <v>15</v>
      </c>
      <c r="L28">
        <v>655</v>
      </c>
      <c r="M28">
        <v>9825</v>
      </c>
      <c r="N28">
        <v>40</v>
      </c>
      <c r="O28">
        <v>3930</v>
      </c>
      <c r="P28">
        <v>5895</v>
      </c>
      <c r="Q28">
        <v>4013</v>
      </c>
      <c r="R28">
        <v>1882</v>
      </c>
      <c r="S28">
        <v>2</v>
      </c>
      <c r="T28">
        <v>786</v>
      </c>
      <c r="U28">
        <v>4.4000000000000004</v>
      </c>
    </row>
    <row r="29" spans="1:21" x14ac:dyDescent="0.35">
      <c r="A29" t="s">
        <v>233</v>
      </c>
      <c r="B29" t="s">
        <v>31</v>
      </c>
      <c r="C29" s="32">
        <v>45023</v>
      </c>
      <c r="D29" t="s">
        <v>93</v>
      </c>
      <c r="E29" t="s">
        <v>50</v>
      </c>
      <c r="F29" t="s">
        <v>106</v>
      </c>
      <c r="G29" t="s">
        <v>55</v>
      </c>
      <c r="H29" t="s">
        <v>66</v>
      </c>
      <c r="I29" t="s">
        <v>65</v>
      </c>
      <c r="J29" t="s">
        <v>103</v>
      </c>
      <c r="K29">
        <v>14</v>
      </c>
      <c r="L29">
        <v>2056</v>
      </c>
      <c r="M29">
        <v>28784</v>
      </c>
      <c r="N29">
        <v>0</v>
      </c>
      <c r="O29">
        <v>0</v>
      </c>
      <c r="P29">
        <v>28784</v>
      </c>
      <c r="Q29">
        <v>16661</v>
      </c>
      <c r="R29">
        <v>12123</v>
      </c>
      <c r="S29">
        <v>1</v>
      </c>
      <c r="T29">
        <v>2056</v>
      </c>
      <c r="U29">
        <v>2.7</v>
      </c>
    </row>
    <row r="30" spans="1:21" x14ac:dyDescent="0.35">
      <c r="A30" t="s">
        <v>237</v>
      </c>
      <c r="B30" t="s">
        <v>31</v>
      </c>
      <c r="C30" s="32">
        <v>45026</v>
      </c>
      <c r="D30" t="s">
        <v>105</v>
      </c>
      <c r="E30" t="s">
        <v>54</v>
      </c>
      <c r="F30" t="s">
        <v>102</v>
      </c>
      <c r="G30" t="s">
        <v>53</v>
      </c>
      <c r="H30" t="s">
        <v>64</v>
      </c>
      <c r="I30" t="s">
        <v>65</v>
      </c>
      <c r="J30" t="s">
        <v>103</v>
      </c>
      <c r="K30">
        <v>8</v>
      </c>
      <c r="L30">
        <v>3892</v>
      </c>
      <c r="M30">
        <v>31136</v>
      </c>
      <c r="N30">
        <v>20</v>
      </c>
      <c r="O30">
        <v>6227</v>
      </c>
      <c r="P30">
        <v>24909</v>
      </c>
      <c r="Q30">
        <v>16348</v>
      </c>
      <c r="R30">
        <v>8561</v>
      </c>
      <c r="S30">
        <v>2</v>
      </c>
      <c r="T30">
        <v>6227</v>
      </c>
      <c r="U30">
        <v>4.2</v>
      </c>
    </row>
    <row r="31" spans="1:21" x14ac:dyDescent="0.35">
      <c r="A31" t="s">
        <v>248</v>
      </c>
      <c r="B31" t="s">
        <v>31</v>
      </c>
      <c r="C31" s="32">
        <v>45035</v>
      </c>
      <c r="D31" t="s">
        <v>105</v>
      </c>
      <c r="E31" t="s">
        <v>58</v>
      </c>
      <c r="F31" t="s">
        <v>106</v>
      </c>
      <c r="G31" t="s">
        <v>51</v>
      </c>
      <c r="H31" t="s">
        <v>64</v>
      </c>
      <c r="I31" t="s">
        <v>65</v>
      </c>
      <c r="J31" t="s">
        <v>95</v>
      </c>
      <c r="K31">
        <v>11</v>
      </c>
      <c r="L31">
        <v>2345</v>
      </c>
      <c r="M31">
        <v>25795</v>
      </c>
      <c r="N31">
        <v>10</v>
      </c>
      <c r="O31">
        <v>2580</v>
      </c>
      <c r="P31">
        <v>23215</v>
      </c>
      <c r="Q31">
        <v>15288</v>
      </c>
      <c r="R31">
        <v>7927</v>
      </c>
      <c r="S31">
        <v>1</v>
      </c>
      <c r="T31">
        <v>2110</v>
      </c>
      <c r="U31">
        <v>3.3</v>
      </c>
    </row>
    <row r="32" spans="1:21" x14ac:dyDescent="0.35">
      <c r="A32" t="s">
        <v>271</v>
      </c>
      <c r="B32" t="s">
        <v>32</v>
      </c>
      <c r="C32" s="32">
        <v>45048</v>
      </c>
      <c r="D32" t="s">
        <v>93</v>
      </c>
      <c r="E32" t="s">
        <v>52</v>
      </c>
      <c r="F32" t="s">
        <v>134</v>
      </c>
      <c r="G32" t="s">
        <v>55</v>
      </c>
      <c r="H32" t="s">
        <v>68</v>
      </c>
      <c r="I32" t="s">
        <v>65</v>
      </c>
      <c r="J32" t="s">
        <v>99</v>
      </c>
      <c r="K32">
        <v>2</v>
      </c>
      <c r="L32">
        <v>3125</v>
      </c>
      <c r="M32">
        <v>6250</v>
      </c>
      <c r="N32">
        <v>0</v>
      </c>
      <c r="O32">
        <v>0</v>
      </c>
      <c r="P32">
        <v>6250</v>
      </c>
      <c r="Q32">
        <v>3195</v>
      </c>
      <c r="R32">
        <v>3055</v>
      </c>
      <c r="S32">
        <v>1</v>
      </c>
      <c r="T32">
        <v>3125</v>
      </c>
      <c r="U32">
        <v>4</v>
      </c>
    </row>
    <row r="33" spans="1:21" x14ac:dyDescent="0.35">
      <c r="A33" t="s">
        <v>279</v>
      </c>
      <c r="B33" t="s">
        <v>32</v>
      </c>
      <c r="C33" s="32">
        <v>45055</v>
      </c>
      <c r="D33" t="s">
        <v>115</v>
      </c>
      <c r="E33" t="s">
        <v>56</v>
      </c>
      <c r="F33" t="s">
        <v>124</v>
      </c>
      <c r="G33" t="s">
        <v>55</v>
      </c>
      <c r="H33" t="s">
        <v>66</v>
      </c>
      <c r="I33" t="s">
        <v>65</v>
      </c>
      <c r="J33" t="s">
        <v>95</v>
      </c>
      <c r="K33">
        <v>13</v>
      </c>
      <c r="L33">
        <v>1895</v>
      </c>
      <c r="M33">
        <v>24635</v>
      </c>
      <c r="N33">
        <v>40</v>
      </c>
      <c r="O33">
        <v>9854</v>
      </c>
      <c r="P33">
        <v>14781</v>
      </c>
      <c r="Q33">
        <v>9170</v>
      </c>
      <c r="R33">
        <v>5611</v>
      </c>
      <c r="S33">
        <v>0</v>
      </c>
      <c r="T33">
        <v>0</v>
      </c>
      <c r="U33">
        <v>3.7</v>
      </c>
    </row>
    <row r="34" spans="1:21" x14ac:dyDescent="0.35">
      <c r="A34" t="s">
        <v>282</v>
      </c>
      <c r="B34" t="s">
        <v>32</v>
      </c>
      <c r="C34" s="32">
        <v>45057</v>
      </c>
      <c r="D34" t="s">
        <v>131</v>
      </c>
      <c r="E34" t="s">
        <v>54</v>
      </c>
      <c r="F34" t="s">
        <v>94</v>
      </c>
      <c r="G34" t="s">
        <v>49</v>
      </c>
      <c r="H34" t="s">
        <v>64</v>
      </c>
      <c r="I34" t="s">
        <v>65</v>
      </c>
      <c r="J34" t="s">
        <v>103</v>
      </c>
      <c r="K34">
        <v>7</v>
      </c>
      <c r="L34">
        <v>1125</v>
      </c>
      <c r="M34">
        <v>7875</v>
      </c>
      <c r="N34">
        <v>30</v>
      </c>
      <c r="O34">
        <v>2362</v>
      </c>
      <c r="P34">
        <v>5513</v>
      </c>
      <c r="Q34">
        <v>3215</v>
      </c>
      <c r="R34">
        <v>2298</v>
      </c>
      <c r="S34">
        <v>0</v>
      </c>
      <c r="T34">
        <v>0</v>
      </c>
      <c r="U34">
        <v>3.8</v>
      </c>
    </row>
    <row r="35" spans="1:21" x14ac:dyDescent="0.35">
      <c r="A35" t="s">
        <v>285</v>
      </c>
      <c r="B35" t="s">
        <v>32</v>
      </c>
      <c r="C35" s="32">
        <v>45058</v>
      </c>
      <c r="D35" t="s">
        <v>105</v>
      </c>
      <c r="E35" t="s">
        <v>52</v>
      </c>
      <c r="F35" t="s">
        <v>98</v>
      </c>
      <c r="G35" t="s">
        <v>53</v>
      </c>
      <c r="H35" t="s">
        <v>64</v>
      </c>
      <c r="I35" t="s">
        <v>65</v>
      </c>
      <c r="J35" t="s">
        <v>99</v>
      </c>
      <c r="K35">
        <v>6</v>
      </c>
      <c r="L35">
        <v>4980</v>
      </c>
      <c r="M35">
        <v>29880</v>
      </c>
      <c r="N35">
        <v>20</v>
      </c>
      <c r="O35">
        <v>5976</v>
      </c>
      <c r="P35">
        <v>23904</v>
      </c>
      <c r="Q35">
        <v>16467</v>
      </c>
      <c r="R35">
        <v>7437</v>
      </c>
      <c r="S35">
        <v>1</v>
      </c>
      <c r="T35">
        <v>3984</v>
      </c>
      <c r="U35">
        <v>2.9</v>
      </c>
    </row>
    <row r="36" spans="1:21" x14ac:dyDescent="0.35">
      <c r="A36" t="s">
        <v>288</v>
      </c>
      <c r="B36" t="s">
        <v>32</v>
      </c>
      <c r="C36" s="32">
        <v>45060</v>
      </c>
      <c r="D36" t="s">
        <v>131</v>
      </c>
      <c r="E36" t="s">
        <v>48</v>
      </c>
      <c r="F36" t="s">
        <v>134</v>
      </c>
      <c r="G36" t="s">
        <v>57</v>
      </c>
      <c r="H36" t="s">
        <v>66</v>
      </c>
      <c r="I36" t="s">
        <v>65</v>
      </c>
      <c r="J36" t="s">
        <v>99</v>
      </c>
      <c r="K36">
        <v>3</v>
      </c>
      <c r="L36">
        <v>1221</v>
      </c>
      <c r="M36">
        <v>3663</v>
      </c>
      <c r="N36">
        <v>15</v>
      </c>
      <c r="O36">
        <v>549</v>
      </c>
      <c r="P36">
        <v>3114</v>
      </c>
      <c r="Q36">
        <v>1697</v>
      </c>
      <c r="R36">
        <v>1417</v>
      </c>
      <c r="S36">
        <v>0</v>
      </c>
      <c r="T36">
        <v>0</v>
      </c>
      <c r="U36">
        <v>3.7</v>
      </c>
    </row>
    <row r="37" spans="1:21" x14ac:dyDescent="0.35">
      <c r="A37" t="s">
        <v>297</v>
      </c>
      <c r="B37" t="s">
        <v>32</v>
      </c>
      <c r="C37" s="32">
        <v>45067</v>
      </c>
      <c r="D37" t="s">
        <v>115</v>
      </c>
      <c r="E37" t="s">
        <v>48</v>
      </c>
      <c r="F37" t="s">
        <v>108</v>
      </c>
      <c r="G37" t="s">
        <v>49</v>
      </c>
      <c r="H37" t="s">
        <v>66</v>
      </c>
      <c r="I37" t="s">
        <v>65</v>
      </c>
      <c r="J37" t="s">
        <v>95</v>
      </c>
      <c r="K37">
        <v>2</v>
      </c>
      <c r="L37">
        <v>4614</v>
      </c>
      <c r="M37">
        <v>9228</v>
      </c>
      <c r="N37">
        <v>50</v>
      </c>
      <c r="O37">
        <v>4614</v>
      </c>
      <c r="P37">
        <v>4614</v>
      </c>
      <c r="Q37">
        <v>2248</v>
      </c>
      <c r="R37">
        <v>2366</v>
      </c>
      <c r="S37">
        <v>0</v>
      </c>
      <c r="T37">
        <v>0</v>
      </c>
      <c r="U37">
        <v>4</v>
      </c>
    </row>
    <row r="38" spans="1:21" x14ac:dyDescent="0.35">
      <c r="A38" t="s">
        <v>308</v>
      </c>
      <c r="B38" t="s">
        <v>32</v>
      </c>
      <c r="C38" s="32">
        <v>45072</v>
      </c>
      <c r="D38" t="s">
        <v>120</v>
      </c>
      <c r="E38" t="s">
        <v>52</v>
      </c>
      <c r="F38" t="s">
        <v>134</v>
      </c>
      <c r="G38" t="s">
        <v>53</v>
      </c>
      <c r="H38" t="s">
        <v>64</v>
      </c>
      <c r="I38" t="s">
        <v>65</v>
      </c>
      <c r="J38" t="s">
        <v>103</v>
      </c>
      <c r="K38">
        <v>1</v>
      </c>
      <c r="L38">
        <v>612</v>
      </c>
      <c r="M38">
        <v>612</v>
      </c>
      <c r="N38">
        <v>20</v>
      </c>
      <c r="O38">
        <v>122</v>
      </c>
      <c r="P38">
        <v>490</v>
      </c>
      <c r="Q38">
        <v>302</v>
      </c>
      <c r="R38">
        <v>188</v>
      </c>
      <c r="S38">
        <v>1</v>
      </c>
      <c r="T38">
        <v>490</v>
      </c>
      <c r="U38">
        <v>4.7</v>
      </c>
    </row>
    <row r="39" spans="1:21" x14ac:dyDescent="0.35">
      <c r="A39" t="s">
        <v>316</v>
      </c>
      <c r="B39" t="s">
        <v>33</v>
      </c>
      <c r="C39" s="32">
        <v>45079</v>
      </c>
      <c r="D39" t="s">
        <v>131</v>
      </c>
      <c r="E39" t="s">
        <v>58</v>
      </c>
      <c r="F39" t="s">
        <v>134</v>
      </c>
      <c r="G39" t="s">
        <v>57</v>
      </c>
      <c r="H39" t="s">
        <v>66</v>
      </c>
      <c r="I39" t="s">
        <v>65</v>
      </c>
      <c r="J39" t="s">
        <v>95</v>
      </c>
      <c r="K39">
        <v>8</v>
      </c>
      <c r="L39">
        <v>2830</v>
      </c>
      <c r="M39">
        <v>22640</v>
      </c>
      <c r="N39">
        <v>25</v>
      </c>
      <c r="O39">
        <v>5660</v>
      </c>
      <c r="P39">
        <v>16980</v>
      </c>
      <c r="Q39">
        <v>9052</v>
      </c>
      <c r="R39">
        <v>7928</v>
      </c>
      <c r="S39">
        <v>2</v>
      </c>
      <c r="T39">
        <v>4245</v>
      </c>
      <c r="U39">
        <v>3.4</v>
      </c>
    </row>
    <row r="40" spans="1:21" x14ac:dyDescent="0.35">
      <c r="A40" t="s">
        <v>317</v>
      </c>
      <c r="B40" t="s">
        <v>33</v>
      </c>
      <c r="C40" s="32">
        <v>45079</v>
      </c>
      <c r="D40" t="s">
        <v>113</v>
      </c>
      <c r="E40" t="s">
        <v>50</v>
      </c>
      <c r="F40" t="s">
        <v>102</v>
      </c>
      <c r="G40" t="s">
        <v>55</v>
      </c>
      <c r="H40" t="s">
        <v>66</v>
      </c>
      <c r="I40" t="s">
        <v>65</v>
      </c>
      <c r="J40" t="s">
        <v>95</v>
      </c>
      <c r="K40">
        <v>4</v>
      </c>
      <c r="L40">
        <v>2464</v>
      </c>
      <c r="M40">
        <v>9856</v>
      </c>
      <c r="N40">
        <v>10</v>
      </c>
      <c r="O40">
        <v>986</v>
      </c>
      <c r="P40">
        <v>8870</v>
      </c>
      <c r="Q40">
        <v>4603</v>
      </c>
      <c r="R40">
        <v>4267</v>
      </c>
      <c r="S40">
        <v>0</v>
      </c>
      <c r="T40">
        <v>0</v>
      </c>
      <c r="U40">
        <v>2.6</v>
      </c>
    </row>
    <row r="41" spans="1:21" x14ac:dyDescent="0.35">
      <c r="A41" t="s">
        <v>321</v>
      </c>
      <c r="B41" t="s">
        <v>33</v>
      </c>
      <c r="C41" s="32">
        <v>45080</v>
      </c>
      <c r="D41" t="s">
        <v>113</v>
      </c>
      <c r="E41" t="s">
        <v>54</v>
      </c>
      <c r="F41" t="s">
        <v>94</v>
      </c>
      <c r="G41" t="s">
        <v>55</v>
      </c>
      <c r="H41" t="s">
        <v>64</v>
      </c>
      <c r="I41" t="s">
        <v>65</v>
      </c>
      <c r="J41" t="s">
        <v>103</v>
      </c>
      <c r="K41">
        <v>2</v>
      </c>
      <c r="L41">
        <v>1675</v>
      </c>
      <c r="M41">
        <v>3350</v>
      </c>
      <c r="N41">
        <v>10</v>
      </c>
      <c r="O41">
        <v>335</v>
      </c>
      <c r="P41">
        <v>3015</v>
      </c>
      <c r="Q41">
        <v>1449</v>
      </c>
      <c r="R41">
        <v>1566</v>
      </c>
      <c r="S41">
        <v>1</v>
      </c>
      <c r="T41">
        <v>1508</v>
      </c>
      <c r="U41">
        <v>3.3</v>
      </c>
    </row>
    <row r="42" spans="1:21" x14ac:dyDescent="0.35">
      <c r="A42" t="s">
        <v>322</v>
      </c>
      <c r="B42" t="s">
        <v>33</v>
      </c>
      <c r="C42" s="32">
        <v>45084</v>
      </c>
      <c r="D42" t="s">
        <v>101</v>
      </c>
      <c r="E42" t="s">
        <v>59</v>
      </c>
      <c r="F42" t="s">
        <v>106</v>
      </c>
      <c r="G42" t="s">
        <v>57</v>
      </c>
      <c r="H42" t="s">
        <v>64</v>
      </c>
      <c r="I42" t="s">
        <v>65</v>
      </c>
      <c r="J42" t="s">
        <v>99</v>
      </c>
      <c r="K42">
        <v>1</v>
      </c>
      <c r="L42">
        <v>4870</v>
      </c>
      <c r="M42">
        <v>4870</v>
      </c>
      <c r="N42">
        <v>10</v>
      </c>
      <c r="O42">
        <v>487</v>
      </c>
      <c r="P42">
        <v>4383</v>
      </c>
      <c r="Q42">
        <v>2752</v>
      </c>
      <c r="R42">
        <v>1631</v>
      </c>
      <c r="S42">
        <v>0</v>
      </c>
      <c r="T42">
        <v>0</v>
      </c>
      <c r="U42">
        <v>2.6</v>
      </c>
    </row>
    <row r="43" spans="1:21" x14ac:dyDescent="0.35">
      <c r="A43" t="s">
        <v>339</v>
      </c>
      <c r="B43" t="s">
        <v>33</v>
      </c>
      <c r="C43" s="32">
        <v>45103</v>
      </c>
      <c r="D43" t="s">
        <v>93</v>
      </c>
      <c r="E43" t="s">
        <v>50</v>
      </c>
      <c r="F43" t="s">
        <v>102</v>
      </c>
      <c r="G43" t="s">
        <v>53</v>
      </c>
      <c r="H43" t="s">
        <v>68</v>
      </c>
      <c r="I43" t="s">
        <v>65</v>
      </c>
      <c r="J43" t="s">
        <v>99</v>
      </c>
      <c r="K43">
        <v>5</v>
      </c>
      <c r="L43">
        <v>1481</v>
      </c>
      <c r="M43">
        <v>7405</v>
      </c>
      <c r="N43">
        <v>5</v>
      </c>
      <c r="O43">
        <v>370</v>
      </c>
      <c r="P43">
        <v>7035</v>
      </c>
      <c r="Q43">
        <v>4434</v>
      </c>
      <c r="R43">
        <v>2601</v>
      </c>
      <c r="S43">
        <v>1</v>
      </c>
      <c r="T43">
        <v>1407</v>
      </c>
      <c r="U43">
        <v>2.8</v>
      </c>
    </row>
    <row r="44" spans="1:21" x14ac:dyDescent="0.35">
      <c r="A44" t="s">
        <v>341</v>
      </c>
      <c r="B44" t="s">
        <v>33</v>
      </c>
      <c r="C44" s="32">
        <v>45103</v>
      </c>
      <c r="D44" t="s">
        <v>101</v>
      </c>
      <c r="E44" t="s">
        <v>56</v>
      </c>
      <c r="F44" t="s">
        <v>116</v>
      </c>
      <c r="G44" t="s">
        <v>57</v>
      </c>
      <c r="H44" t="s">
        <v>68</v>
      </c>
      <c r="I44" t="s">
        <v>65</v>
      </c>
      <c r="J44" t="s">
        <v>99</v>
      </c>
      <c r="K44">
        <v>3</v>
      </c>
      <c r="L44">
        <v>1708</v>
      </c>
      <c r="M44">
        <v>5124</v>
      </c>
      <c r="N44">
        <v>10</v>
      </c>
      <c r="O44">
        <v>512</v>
      </c>
      <c r="P44">
        <v>4612</v>
      </c>
      <c r="Q44">
        <v>2945</v>
      </c>
      <c r="R44">
        <v>1667</v>
      </c>
      <c r="S44">
        <v>1</v>
      </c>
      <c r="T44">
        <v>1537</v>
      </c>
      <c r="U44">
        <v>3.1</v>
      </c>
    </row>
    <row r="45" spans="1:21" x14ac:dyDescent="0.35">
      <c r="A45" t="s">
        <v>342</v>
      </c>
      <c r="B45" t="s">
        <v>33</v>
      </c>
      <c r="C45" s="32">
        <v>45103</v>
      </c>
      <c r="D45" t="s">
        <v>113</v>
      </c>
      <c r="E45" t="s">
        <v>50</v>
      </c>
      <c r="F45" t="s">
        <v>108</v>
      </c>
      <c r="G45" t="s">
        <v>55</v>
      </c>
      <c r="H45" t="s">
        <v>66</v>
      </c>
      <c r="I45" t="s">
        <v>65</v>
      </c>
      <c r="J45" t="s">
        <v>103</v>
      </c>
      <c r="K45">
        <v>10</v>
      </c>
      <c r="L45">
        <v>2522</v>
      </c>
      <c r="M45">
        <v>25220</v>
      </c>
      <c r="N45">
        <v>10</v>
      </c>
      <c r="O45">
        <v>2522</v>
      </c>
      <c r="P45">
        <v>22698</v>
      </c>
      <c r="Q45">
        <v>11777</v>
      </c>
      <c r="R45">
        <v>10921</v>
      </c>
      <c r="S45">
        <v>0</v>
      </c>
      <c r="T45">
        <v>0</v>
      </c>
      <c r="U45">
        <v>4</v>
      </c>
    </row>
    <row r="46" spans="1:21" x14ac:dyDescent="0.35">
      <c r="A46" t="s">
        <v>344</v>
      </c>
      <c r="B46" t="s">
        <v>33</v>
      </c>
      <c r="C46" s="32">
        <v>45106</v>
      </c>
      <c r="D46" t="s">
        <v>93</v>
      </c>
      <c r="E46" t="s">
        <v>50</v>
      </c>
      <c r="F46" t="s">
        <v>151</v>
      </c>
      <c r="G46" t="s">
        <v>53</v>
      </c>
      <c r="H46" t="s">
        <v>66</v>
      </c>
      <c r="I46" t="s">
        <v>65</v>
      </c>
      <c r="J46" t="s">
        <v>99</v>
      </c>
      <c r="K46">
        <v>11</v>
      </c>
      <c r="L46">
        <v>4905</v>
      </c>
      <c r="M46">
        <v>53955</v>
      </c>
      <c r="N46">
        <v>0</v>
      </c>
      <c r="O46">
        <v>0</v>
      </c>
      <c r="P46">
        <v>53955</v>
      </c>
      <c r="Q46">
        <v>25292</v>
      </c>
      <c r="R46">
        <v>28663</v>
      </c>
      <c r="S46">
        <v>2</v>
      </c>
      <c r="T46">
        <v>9810</v>
      </c>
      <c r="U46">
        <v>3.5</v>
      </c>
    </row>
    <row r="47" spans="1:21" x14ac:dyDescent="0.35">
      <c r="A47" t="s">
        <v>345</v>
      </c>
      <c r="B47" t="s">
        <v>34</v>
      </c>
      <c r="C47" s="32">
        <v>45108</v>
      </c>
      <c r="D47" t="s">
        <v>120</v>
      </c>
      <c r="E47" t="s">
        <v>54</v>
      </c>
      <c r="F47" t="s">
        <v>116</v>
      </c>
      <c r="G47" t="s">
        <v>49</v>
      </c>
      <c r="H47" t="s">
        <v>68</v>
      </c>
      <c r="I47" t="s">
        <v>65</v>
      </c>
      <c r="J47" t="s">
        <v>99</v>
      </c>
      <c r="K47">
        <v>10</v>
      </c>
      <c r="L47">
        <v>1442</v>
      </c>
      <c r="M47">
        <v>14420</v>
      </c>
      <c r="N47">
        <v>15</v>
      </c>
      <c r="O47">
        <v>2163</v>
      </c>
      <c r="P47">
        <v>12257</v>
      </c>
      <c r="Q47">
        <v>6435</v>
      </c>
      <c r="R47">
        <v>5822</v>
      </c>
      <c r="S47">
        <v>0</v>
      </c>
      <c r="T47">
        <v>0</v>
      </c>
      <c r="U47">
        <v>4.0999999999999996</v>
      </c>
    </row>
    <row r="48" spans="1:21" x14ac:dyDescent="0.35">
      <c r="A48" t="s">
        <v>348</v>
      </c>
      <c r="B48" t="s">
        <v>34</v>
      </c>
      <c r="C48" s="32">
        <v>45111</v>
      </c>
      <c r="D48" t="s">
        <v>105</v>
      </c>
      <c r="E48" t="s">
        <v>54</v>
      </c>
      <c r="F48" t="s">
        <v>111</v>
      </c>
      <c r="G48" t="s">
        <v>55</v>
      </c>
      <c r="H48" t="s">
        <v>66</v>
      </c>
      <c r="I48" t="s">
        <v>65</v>
      </c>
      <c r="J48" t="s">
        <v>99</v>
      </c>
      <c r="K48">
        <v>9</v>
      </c>
      <c r="L48">
        <v>3509</v>
      </c>
      <c r="M48">
        <v>31581</v>
      </c>
      <c r="N48">
        <v>40</v>
      </c>
      <c r="O48">
        <v>12632</v>
      </c>
      <c r="P48">
        <v>18949</v>
      </c>
      <c r="Q48">
        <v>13049</v>
      </c>
      <c r="R48">
        <v>5900</v>
      </c>
      <c r="S48">
        <v>0</v>
      </c>
      <c r="T48">
        <v>0</v>
      </c>
      <c r="U48">
        <v>2.5</v>
      </c>
    </row>
    <row r="49" spans="1:21" x14ac:dyDescent="0.35">
      <c r="A49" t="s">
        <v>351</v>
      </c>
      <c r="B49" t="s">
        <v>34</v>
      </c>
      <c r="C49" s="32">
        <v>45114</v>
      </c>
      <c r="D49" t="s">
        <v>120</v>
      </c>
      <c r="E49" t="s">
        <v>48</v>
      </c>
      <c r="F49" t="s">
        <v>98</v>
      </c>
      <c r="G49" t="s">
        <v>57</v>
      </c>
      <c r="H49" t="s">
        <v>68</v>
      </c>
      <c r="I49" t="s">
        <v>65</v>
      </c>
      <c r="J49" t="s">
        <v>95</v>
      </c>
      <c r="K49">
        <v>9</v>
      </c>
      <c r="L49">
        <v>2206</v>
      </c>
      <c r="M49">
        <v>19854</v>
      </c>
      <c r="N49">
        <v>25</v>
      </c>
      <c r="O49">
        <v>4964</v>
      </c>
      <c r="P49">
        <v>14890</v>
      </c>
      <c r="Q49">
        <v>8513</v>
      </c>
      <c r="R49">
        <v>6377</v>
      </c>
      <c r="S49">
        <v>1</v>
      </c>
      <c r="T49">
        <v>1654</v>
      </c>
      <c r="U49">
        <v>4.7</v>
      </c>
    </row>
    <row r="50" spans="1:21" x14ac:dyDescent="0.35">
      <c r="A50" t="s">
        <v>359</v>
      </c>
      <c r="B50" t="s">
        <v>34</v>
      </c>
      <c r="C50" s="32">
        <v>45121</v>
      </c>
      <c r="D50" t="s">
        <v>131</v>
      </c>
      <c r="E50" t="s">
        <v>58</v>
      </c>
      <c r="F50" t="s">
        <v>94</v>
      </c>
      <c r="G50" t="s">
        <v>55</v>
      </c>
      <c r="H50" t="s">
        <v>68</v>
      </c>
      <c r="I50" t="s">
        <v>65</v>
      </c>
      <c r="J50" t="s">
        <v>103</v>
      </c>
      <c r="K50">
        <v>10</v>
      </c>
      <c r="L50">
        <v>939</v>
      </c>
      <c r="M50">
        <v>9390</v>
      </c>
      <c r="N50">
        <v>25</v>
      </c>
      <c r="O50">
        <v>2348</v>
      </c>
      <c r="P50">
        <v>7042</v>
      </c>
      <c r="Q50">
        <v>4231</v>
      </c>
      <c r="R50">
        <v>2811</v>
      </c>
      <c r="S50">
        <v>2</v>
      </c>
      <c r="T50">
        <v>1408</v>
      </c>
      <c r="U50">
        <v>3</v>
      </c>
    </row>
    <row r="51" spans="1:21" x14ac:dyDescent="0.35">
      <c r="A51" t="s">
        <v>363</v>
      </c>
      <c r="B51" t="s">
        <v>34</v>
      </c>
      <c r="C51" s="32">
        <v>45123</v>
      </c>
      <c r="D51" t="s">
        <v>122</v>
      </c>
      <c r="E51" t="s">
        <v>56</v>
      </c>
      <c r="F51" t="s">
        <v>111</v>
      </c>
      <c r="G51" t="s">
        <v>51</v>
      </c>
      <c r="H51" t="s">
        <v>64</v>
      </c>
      <c r="I51" t="s">
        <v>65</v>
      </c>
      <c r="J51" t="s">
        <v>99</v>
      </c>
      <c r="K51">
        <v>6</v>
      </c>
      <c r="L51">
        <v>2849</v>
      </c>
      <c r="M51">
        <v>17094</v>
      </c>
      <c r="N51">
        <v>30</v>
      </c>
      <c r="O51">
        <v>5128</v>
      </c>
      <c r="P51">
        <v>11966</v>
      </c>
      <c r="Q51">
        <v>5571</v>
      </c>
      <c r="R51">
        <v>6395</v>
      </c>
      <c r="S51">
        <v>1</v>
      </c>
      <c r="T51">
        <v>1994</v>
      </c>
      <c r="U51">
        <v>3.5</v>
      </c>
    </row>
    <row r="52" spans="1:21" x14ac:dyDescent="0.35">
      <c r="A52" t="s">
        <v>373</v>
      </c>
      <c r="B52" t="s">
        <v>34</v>
      </c>
      <c r="C52" s="32">
        <v>45128</v>
      </c>
      <c r="D52" t="s">
        <v>115</v>
      </c>
      <c r="E52" t="s">
        <v>56</v>
      </c>
      <c r="F52" t="s">
        <v>111</v>
      </c>
      <c r="G52" t="s">
        <v>49</v>
      </c>
      <c r="H52" t="s">
        <v>66</v>
      </c>
      <c r="I52" t="s">
        <v>65</v>
      </c>
      <c r="J52" t="s">
        <v>103</v>
      </c>
      <c r="K52">
        <v>11</v>
      </c>
      <c r="L52">
        <v>3178</v>
      </c>
      <c r="M52">
        <v>34958</v>
      </c>
      <c r="N52">
        <v>15</v>
      </c>
      <c r="O52">
        <v>5244</v>
      </c>
      <c r="P52">
        <v>29714</v>
      </c>
      <c r="Q52">
        <v>16471</v>
      </c>
      <c r="R52">
        <v>13243</v>
      </c>
      <c r="S52">
        <v>2</v>
      </c>
      <c r="T52">
        <v>5403</v>
      </c>
      <c r="U52">
        <v>2.9</v>
      </c>
    </row>
    <row r="53" spans="1:21" x14ac:dyDescent="0.35">
      <c r="A53" t="s">
        <v>378</v>
      </c>
      <c r="B53" t="s">
        <v>34</v>
      </c>
      <c r="C53" s="32">
        <v>45130</v>
      </c>
      <c r="D53" t="s">
        <v>97</v>
      </c>
      <c r="E53" t="s">
        <v>54</v>
      </c>
      <c r="F53" t="s">
        <v>108</v>
      </c>
      <c r="G53" t="s">
        <v>55</v>
      </c>
      <c r="H53" t="s">
        <v>64</v>
      </c>
      <c r="I53" t="s">
        <v>65</v>
      </c>
      <c r="J53" t="s">
        <v>99</v>
      </c>
      <c r="K53">
        <v>10</v>
      </c>
      <c r="L53">
        <v>4618</v>
      </c>
      <c r="M53">
        <v>46180</v>
      </c>
      <c r="N53">
        <v>50</v>
      </c>
      <c r="O53">
        <v>23090</v>
      </c>
      <c r="P53">
        <v>23090</v>
      </c>
      <c r="Q53">
        <v>15607</v>
      </c>
      <c r="R53">
        <v>7483</v>
      </c>
      <c r="S53">
        <v>1</v>
      </c>
      <c r="T53">
        <v>2309</v>
      </c>
      <c r="U53">
        <v>4.5999999999999996</v>
      </c>
    </row>
    <row r="54" spans="1:21" x14ac:dyDescent="0.35">
      <c r="A54" t="s">
        <v>380</v>
      </c>
      <c r="B54" t="s">
        <v>34</v>
      </c>
      <c r="C54" s="32">
        <v>45132</v>
      </c>
      <c r="D54" t="s">
        <v>122</v>
      </c>
      <c r="E54" t="s">
        <v>50</v>
      </c>
      <c r="F54" t="s">
        <v>98</v>
      </c>
      <c r="G54" t="s">
        <v>55</v>
      </c>
      <c r="H54" t="s">
        <v>66</v>
      </c>
      <c r="I54" t="s">
        <v>65</v>
      </c>
      <c r="J54" t="s">
        <v>95</v>
      </c>
      <c r="K54">
        <v>15</v>
      </c>
      <c r="L54">
        <v>679</v>
      </c>
      <c r="M54">
        <v>10185</v>
      </c>
      <c r="N54">
        <v>10</v>
      </c>
      <c r="O54">
        <v>1018</v>
      </c>
      <c r="P54">
        <v>9167</v>
      </c>
      <c r="Q54">
        <v>4276</v>
      </c>
      <c r="R54">
        <v>4891</v>
      </c>
      <c r="S54">
        <v>2</v>
      </c>
      <c r="T54">
        <v>1222</v>
      </c>
      <c r="U54">
        <v>4.0999999999999996</v>
      </c>
    </row>
    <row r="55" spans="1:21" x14ac:dyDescent="0.35">
      <c r="A55" t="s">
        <v>383</v>
      </c>
      <c r="B55" t="s">
        <v>34</v>
      </c>
      <c r="C55" s="32">
        <v>45134</v>
      </c>
      <c r="D55" t="s">
        <v>101</v>
      </c>
      <c r="E55" t="s">
        <v>56</v>
      </c>
      <c r="F55" t="s">
        <v>111</v>
      </c>
      <c r="G55" t="s">
        <v>51</v>
      </c>
      <c r="H55" t="s">
        <v>66</v>
      </c>
      <c r="I55" t="s">
        <v>65</v>
      </c>
      <c r="J55" t="s">
        <v>99</v>
      </c>
      <c r="K55">
        <v>1</v>
      </c>
      <c r="L55">
        <v>3765</v>
      </c>
      <c r="M55">
        <v>3765</v>
      </c>
      <c r="N55">
        <v>15</v>
      </c>
      <c r="O55">
        <v>565</v>
      </c>
      <c r="P55">
        <v>3200</v>
      </c>
      <c r="Q55">
        <v>1800</v>
      </c>
      <c r="R55">
        <v>1400</v>
      </c>
      <c r="S55">
        <v>1</v>
      </c>
      <c r="T55">
        <v>3200</v>
      </c>
      <c r="U55">
        <v>3.5</v>
      </c>
    </row>
    <row r="56" spans="1:21" x14ac:dyDescent="0.35">
      <c r="A56" t="s">
        <v>389</v>
      </c>
      <c r="B56" t="s">
        <v>34</v>
      </c>
      <c r="C56" s="32">
        <v>45138</v>
      </c>
      <c r="D56" t="s">
        <v>120</v>
      </c>
      <c r="E56" t="s">
        <v>50</v>
      </c>
      <c r="F56" t="s">
        <v>116</v>
      </c>
      <c r="G56" t="s">
        <v>53</v>
      </c>
      <c r="H56" t="s">
        <v>66</v>
      </c>
      <c r="I56" t="s">
        <v>65</v>
      </c>
      <c r="J56" t="s">
        <v>95</v>
      </c>
      <c r="K56">
        <v>14</v>
      </c>
      <c r="L56">
        <v>2553</v>
      </c>
      <c r="M56">
        <v>35742</v>
      </c>
      <c r="N56">
        <v>15</v>
      </c>
      <c r="O56">
        <v>5361</v>
      </c>
      <c r="P56">
        <v>30381</v>
      </c>
      <c r="Q56">
        <v>14907</v>
      </c>
      <c r="R56">
        <v>15474</v>
      </c>
      <c r="S56">
        <v>0</v>
      </c>
      <c r="T56">
        <v>0</v>
      </c>
      <c r="U56">
        <v>4.5</v>
      </c>
    </row>
    <row r="57" spans="1:21" x14ac:dyDescent="0.35">
      <c r="A57" t="s">
        <v>391</v>
      </c>
      <c r="B57" t="s">
        <v>35</v>
      </c>
      <c r="C57" s="32">
        <v>45139</v>
      </c>
      <c r="D57" t="s">
        <v>120</v>
      </c>
      <c r="E57" t="s">
        <v>59</v>
      </c>
      <c r="F57" t="s">
        <v>134</v>
      </c>
      <c r="G57" t="s">
        <v>49</v>
      </c>
      <c r="H57" t="s">
        <v>68</v>
      </c>
      <c r="I57" t="s">
        <v>65</v>
      </c>
      <c r="J57" t="s">
        <v>103</v>
      </c>
      <c r="K57">
        <v>10</v>
      </c>
      <c r="L57">
        <v>4793</v>
      </c>
      <c r="M57">
        <v>47930</v>
      </c>
      <c r="N57">
        <v>10</v>
      </c>
      <c r="O57">
        <v>4793</v>
      </c>
      <c r="P57">
        <v>43137</v>
      </c>
      <c r="Q57">
        <v>29806</v>
      </c>
      <c r="R57">
        <v>13331</v>
      </c>
      <c r="S57">
        <v>0</v>
      </c>
      <c r="T57">
        <v>0</v>
      </c>
      <c r="U57">
        <v>3.8</v>
      </c>
    </row>
    <row r="58" spans="1:21" x14ac:dyDescent="0.35">
      <c r="A58" t="s">
        <v>392</v>
      </c>
      <c r="B58" t="s">
        <v>35</v>
      </c>
      <c r="C58" s="32">
        <v>45140</v>
      </c>
      <c r="D58" t="s">
        <v>93</v>
      </c>
      <c r="E58" t="s">
        <v>48</v>
      </c>
      <c r="F58" t="s">
        <v>108</v>
      </c>
      <c r="G58" t="s">
        <v>49</v>
      </c>
      <c r="H58" t="s">
        <v>66</v>
      </c>
      <c r="I58" t="s">
        <v>65</v>
      </c>
      <c r="J58" t="s">
        <v>99</v>
      </c>
      <c r="K58">
        <v>11</v>
      </c>
      <c r="L58">
        <v>3979</v>
      </c>
      <c r="M58">
        <v>43769</v>
      </c>
      <c r="N58">
        <v>15</v>
      </c>
      <c r="O58">
        <v>6565</v>
      </c>
      <c r="P58">
        <v>37204</v>
      </c>
      <c r="Q58">
        <v>23452</v>
      </c>
      <c r="R58">
        <v>13752</v>
      </c>
      <c r="S58">
        <v>2</v>
      </c>
      <c r="T58">
        <v>6764</v>
      </c>
      <c r="U58">
        <v>3.7</v>
      </c>
    </row>
    <row r="59" spans="1:21" x14ac:dyDescent="0.35">
      <c r="A59" t="s">
        <v>401</v>
      </c>
      <c r="B59" t="s">
        <v>35</v>
      </c>
      <c r="C59" s="32">
        <v>45150</v>
      </c>
      <c r="D59" t="s">
        <v>122</v>
      </c>
      <c r="E59" t="s">
        <v>50</v>
      </c>
      <c r="F59" t="s">
        <v>151</v>
      </c>
      <c r="G59" t="s">
        <v>55</v>
      </c>
      <c r="H59" t="s">
        <v>68</v>
      </c>
      <c r="I59" t="s">
        <v>65</v>
      </c>
      <c r="J59" t="s">
        <v>103</v>
      </c>
      <c r="K59">
        <v>3</v>
      </c>
      <c r="L59">
        <v>4249</v>
      </c>
      <c r="M59">
        <v>12747</v>
      </c>
      <c r="N59">
        <v>10</v>
      </c>
      <c r="O59">
        <v>1275</v>
      </c>
      <c r="P59">
        <v>11472</v>
      </c>
      <c r="Q59">
        <v>7975</v>
      </c>
      <c r="R59">
        <v>3497</v>
      </c>
      <c r="S59">
        <v>0</v>
      </c>
      <c r="T59">
        <v>0</v>
      </c>
      <c r="U59">
        <v>4.8</v>
      </c>
    </row>
    <row r="60" spans="1:21" x14ac:dyDescent="0.35">
      <c r="A60" t="s">
        <v>404</v>
      </c>
      <c r="B60" t="s">
        <v>35</v>
      </c>
      <c r="C60" s="32">
        <v>45150</v>
      </c>
      <c r="D60" t="s">
        <v>93</v>
      </c>
      <c r="E60" t="s">
        <v>50</v>
      </c>
      <c r="F60" t="s">
        <v>106</v>
      </c>
      <c r="G60" t="s">
        <v>51</v>
      </c>
      <c r="H60" t="s">
        <v>66</v>
      </c>
      <c r="I60" t="s">
        <v>65</v>
      </c>
      <c r="J60" t="s">
        <v>99</v>
      </c>
      <c r="K60">
        <v>4</v>
      </c>
      <c r="L60">
        <v>1535</v>
      </c>
      <c r="M60">
        <v>6140</v>
      </c>
      <c r="N60">
        <v>30</v>
      </c>
      <c r="O60">
        <v>1842</v>
      </c>
      <c r="P60">
        <v>4298</v>
      </c>
      <c r="Q60">
        <v>2606</v>
      </c>
      <c r="R60">
        <v>1692</v>
      </c>
      <c r="S60">
        <v>1</v>
      </c>
      <c r="T60">
        <v>1074</v>
      </c>
      <c r="U60">
        <v>3.2</v>
      </c>
    </row>
    <row r="61" spans="1:21" x14ac:dyDescent="0.35">
      <c r="A61" t="s">
        <v>411</v>
      </c>
      <c r="B61" t="s">
        <v>35</v>
      </c>
      <c r="C61" s="32">
        <v>45157</v>
      </c>
      <c r="D61" t="s">
        <v>105</v>
      </c>
      <c r="E61" t="s">
        <v>54</v>
      </c>
      <c r="F61" t="s">
        <v>151</v>
      </c>
      <c r="G61" t="s">
        <v>55</v>
      </c>
      <c r="H61" t="s">
        <v>64</v>
      </c>
      <c r="I61" t="s">
        <v>65</v>
      </c>
      <c r="J61" t="s">
        <v>103</v>
      </c>
      <c r="K61">
        <v>6</v>
      </c>
      <c r="L61">
        <v>1407</v>
      </c>
      <c r="M61">
        <v>8442</v>
      </c>
      <c r="N61">
        <v>5</v>
      </c>
      <c r="O61">
        <v>422</v>
      </c>
      <c r="P61">
        <v>8020</v>
      </c>
      <c r="Q61">
        <v>4361</v>
      </c>
      <c r="R61">
        <v>3659</v>
      </c>
      <c r="S61">
        <v>0</v>
      </c>
      <c r="T61">
        <v>0</v>
      </c>
      <c r="U61">
        <v>3.3</v>
      </c>
    </row>
    <row r="62" spans="1:21" x14ac:dyDescent="0.35">
      <c r="A62" t="s">
        <v>413</v>
      </c>
      <c r="B62" t="s">
        <v>35</v>
      </c>
      <c r="C62" s="32">
        <v>45157</v>
      </c>
      <c r="D62" t="s">
        <v>93</v>
      </c>
      <c r="E62" t="s">
        <v>50</v>
      </c>
      <c r="F62" t="s">
        <v>94</v>
      </c>
      <c r="G62" t="s">
        <v>51</v>
      </c>
      <c r="H62" t="s">
        <v>64</v>
      </c>
      <c r="I62" t="s">
        <v>65</v>
      </c>
      <c r="J62" t="s">
        <v>103</v>
      </c>
      <c r="K62">
        <v>1</v>
      </c>
      <c r="L62">
        <v>3015</v>
      </c>
      <c r="M62">
        <v>3015</v>
      </c>
      <c r="N62">
        <v>15</v>
      </c>
      <c r="O62">
        <v>452</v>
      </c>
      <c r="P62">
        <v>2563</v>
      </c>
      <c r="Q62">
        <v>1610</v>
      </c>
      <c r="R62">
        <v>953</v>
      </c>
      <c r="S62">
        <v>1</v>
      </c>
      <c r="T62">
        <v>2563</v>
      </c>
      <c r="U62">
        <v>3.5</v>
      </c>
    </row>
    <row r="63" spans="1:21" x14ac:dyDescent="0.35">
      <c r="A63" t="s">
        <v>421</v>
      </c>
      <c r="B63" t="s">
        <v>35</v>
      </c>
      <c r="C63" s="32">
        <v>45162</v>
      </c>
      <c r="D63" t="s">
        <v>113</v>
      </c>
      <c r="E63" t="s">
        <v>50</v>
      </c>
      <c r="F63" t="s">
        <v>134</v>
      </c>
      <c r="G63" t="s">
        <v>55</v>
      </c>
      <c r="H63" t="s">
        <v>64</v>
      </c>
      <c r="I63" t="s">
        <v>65</v>
      </c>
      <c r="J63" t="s">
        <v>99</v>
      </c>
      <c r="K63">
        <v>6</v>
      </c>
      <c r="L63">
        <v>857</v>
      </c>
      <c r="M63">
        <v>5142</v>
      </c>
      <c r="N63">
        <v>40</v>
      </c>
      <c r="O63">
        <v>2057</v>
      </c>
      <c r="P63">
        <v>3085</v>
      </c>
      <c r="Q63">
        <v>1963</v>
      </c>
      <c r="R63">
        <v>1122</v>
      </c>
      <c r="S63">
        <v>0</v>
      </c>
      <c r="T63">
        <v>0</v>
      </c>
      <c r="U63">
        <v>2.8</v>
      </c>
    </row>
    <row r="64" spans="1:21" x14ac:dyDescent="0.35">
      <c r="A64" t="s">
        <v>425</v>
      </c>
      <c r="B64" t="s">
        <v>35</v>
      </c>
      <c r="C64" s="32">
        <v>45164</v>
      </c>
      <c r="D64" t="s">
        <v>97</v>
      </c>
      <c r="E64" t="s">
        <v>59</v>
      </c>
      <c r="F64" t="s">
        <v>102</v>
      </c>
      <c r="G64" t="s">
        <v>51</v>
      </c>
      <c r="H64" t="s">
        <v>64</v>
      </c>
      <c r="I64" t="s">
        <v>65</v>
      </c>
      <c r="J64" t="s">
        <v>95</v>
      </c>
      <c r="K64">
        <v>13</v>
      </c>
      <c r="L64">
        <v>2483</v>
      </c>
      <c r="M64">
        <v>32279</v>
      </c>
      <c r="N64">
        <v>50</v>
      </c>
      <c r="O64">
        <v>16140</v>
      </c>
      <c r="P64">
        <v>16139</v>
      </c>
      <c r="Q64">
        <v>11248</v>
      </c>
      <c r="R64">
        <v>4891</v>
      </c>
      <c r="S64">
        <v>2</v>
      </c>
      <c r="T64">
        <v>2483</v>
      </c>
      <c r="U64">
        <v>4.9000000000000004</v>
      </c>
    </row>
    <row r="65" spans="1:21" x14ac:dyDescent="0.35">
      <c r="A65" t="s">
        <v>434</v>
      </c>
      <c r="B65" t="s">
        <v>36</v>
      </c>
      <c r="C65" s="32">
        <v>45170</v>
      </c>
      <c r="D65" t="s">
        <v>131</v>
      </c>
      <c r="E65" t="s">
        <v>56</v>
      </c>
      <c r="F65" t="s">
        <v>102</v>
      </c>
      <c r="G65" t="s">
        <v>51</v>
      </c>
      <c r="H65" t="s">
        <v>68</v>
      </c>
      <c r="I65" t="s">
        <v>65</v>
      </c>
      <c r="J65" t="s">
        <v>99</v>
      </c>
      <c r="K65">
        <v>5</v>
      </c>
      <c r="L65">
        <v>981</v>
      </c>
      <c r="M65">
        <v>4905</v>
      </c>
      <c r="N65">
        <v>30</v>
      </c>
      <c r="O65">
        <v>1472</v>
      </c>
      <c r="P65">
        <v>3433</v>
      </c>
      <c r="Q65">
        <v>1555</v>
      </c>
      <c r="R65">
        <v>1878</v>
      </c>
      <c r="S65">
        <v>1</v>
      </c>
      <c r="T65">
        <v>687</v>
      </c>
      <c r="U65">
        <v>3.5</v>
      </c>
    </row>
    <row r="66" spans="1:21" x14ac:dyDescent="0.35">
      <c r="A66" t="s">
        <v>435</v>
      </c>
      <c r="B66" t="s">
        <v>36</v>
      </c>
      <c r="C66" s="32">
        <v>45172</v>
      </c>
      <c r="D66" t="s">
        <v>101</v>
      </c>
      <c r="E66" t="s">
        <v>48</v>
      </c>
      <c r="F66" t="s">
        <v>116</v>
      </c>
      <c r="G66" t="s">
        <v>57</v>
      </c>
      <c r="H66" t="s">
        <v>66</v>
      </c>
      <c r="I66" t="s">
        <v>65</v>
      </c>
      <c r="J66" t="s">
        <v>103</v>
      </c>
      <c r="K66">
        <v>1</v>
      </c>
      <c r="L66">
        <v>4015</v>
      </c>
      <c r="M66">
        <v>4015</v>
      </c>
      <c r="N66">
        <v>25</v>
      </c>
      <c r="O66">
        <v>1004</v>
      </c>
      <c r="P66">
        <v>3011</v>
      </c>
      <c r="Q66">
        <v>1883</v>
      </c>
      <c r="R66">
        <v>1128</v>
      </c>
      <c r="S66">
        <v>0</v>
      </c>
      <c r="T66">
        <v>0</v>
      </c>
      <c r="U66">
        <v>2.8</v>
      </c>
    </row>
    <row r="67" spans="1:21" x14ac:dyDescent="0.35">
      <c r="A67" t="s">
        <v>443</v>
      </c>
      <c r="B67" t="s">
        <v>36</v>
      </c>
      <c r="C67" s="32">
        <v>45177</v>
      </c>
      <c r="D67" t="s">
        <v>97</v>
      </c>
      <c r="E67" t="s">
        <v>54</v>
      </c>
      <c r="F67" t="s">
        <v>151</v>
      </c>
      <c r="G67" t="s">
        <v>49</v>
      </c>
      <c r="H67" t="s">
        <v>66</v>
      </c>
      <c r="I67" t="s">
        <v>65</v>
      </c>
      <c r="J67" t="s">
        <v>99</v>
      </c>
      <c r="K67">
        <v>1</v>
      </c>
      <c r="L67">
        <v>316</v>
      </c>
      <c r="M67">
        <v>316</v>
      </c>
      <c r="N67">
        <v>10</v>
      </c>
      <c r="O67">
        <v>32</v>
      </c>
      <c r="P67">
        <v>284</v>
      </c>
      <c r="Q67">
        <v>173</v>
      </c>
      <c r="R67">
        <v>111</v>
      </c>
      <c r="S67">
        <v>1</v>
      </c>
      <c r="T67">
        <v>284</v>
      </c>
      <c r="U67">
        <v>2.9</v>
      </c>
    </row>
    <row r="68" spans="1:21" x14ac:dyDescent="0.35">
      <c r="A68" t="s">
        <v>444</v>
      </c>
      <c r="B68" t="s">
        <v>36</v>
      </c>
      <c r="C68" s="32">
        <v>45177</v>
      </c>
      <c r="D68" t="s">
        <v>131</v>
      </c>
      <c r="E68" t="s">
        <v>52</v>
      </c>
      <c r="F68" t="s">
        <v>134</v>
      </c>
      <c r="G68" t="s">
        <v>53</v>
      </c>
      <c r="H68" t="s">
        <v>66</v>
      </c>
      <c r="I68" t="s">
        <v>65</v>
      </c>
      <c r="J68" t="s">
        <v>99</v>
      </c>
      <c r="K68">
        <v>8</v>
      </c>
      <c r="L68">
        <v>654</v>
      </c>
      <c r="M68">
        <v>5232</v>
      </c>
      <c r="N68">
        <v>5</v>
      </c>
      <c r="O68">
        <v>262</v>
      </c>
      <c r="P68">
        <v>4970</v>
      </c>
      <c r="Q68">
        <v>2737</v>
      </c>
      <c r="R68">
        <v>2233</v>
      </c>
      <c r="S68">
        <v>2</v>
      </c>
      <c r="T68">
        <v>1243</v>
      </c>
      <c r="U68">
        <v>3.2</v>
      </c>
    </row>
    <row r="69" spans="1:21" x14ac:dyDescent="0.35">
      <c r="A69" t="s">
        <v>446</v>
      </c>
      <c r="B69" t="s">
        <v>36</v>
      </c>
      <c r="C69" s="32">
        <v>45178</v>
      </c>
      <c r="D69" t="s">
        <v>101</v>
      </c>
      <c r="E69" t="s">
        <v>52</v>
      </c>
      <c r="F69" t="s">
        <v>94</v>
      </c>
      <c r="G69" t="s">
        <v>57</v>
      </c>
      <c r="H69" t="s">
        <v>68</v>
      </c>
      <c r="I69" t="s">
        <v>65</v>
      </c>
      <c r="J69" t="s">
        <v>95</v>
      </c>
      <c r="K69">
        <v>11</v>
      </c>
      <c r="L69">
        <v>3053</v>
      </c>
      <c r="M69">
        <v>33583</v>
      </c>
      <c r="N69">
        <v>30</v>
      </c>
      <c r="O69">
        <v>10075</v>
      </c>
      <c r="P69">
        <v>23508</v>
      </c>
      <c r="Q69">
        <v>11082</v>
      </c>
      <c r="R69">
        <v>12426</v>
      </c>
      <c r="S69">
        <v>2</v>
      </c>
      <c r="T69">
        <v>4274</v>
      </c>
      <c r="U69">
        <v>3.2</v>
      </c>
    </row>
    <row r="70" spans="1:21" x14ac:dyDescent="0.35">
      <c r="A70" t="s">
        <v>447</v>
      </c>
      <c r="B70" t="s">
        <v>36</v>
      </c>
      <c r="C70" s="32">
        <v>45178</v>
      </c>
      <c r="D70" t="s">
        <v>115</v>
      </c>
      <c r="E70" t="s">
        <v>52</v>
      </c>
      <c r="F70" t="s">
        <v>134</v>
      </c>
      <c r="G70" t="s">
        <v>55</v>
      </c>
      <c r="H70" t="s">
        <v>64</v>
      </c>
      <c r="I70" t="s">
        <v>65</v>
      </c>
      <c r="J70" t="s">
        <v>95</v>
      </c>
      <c r="K70">
        <v>3</v>
      </c>
      <c r="L70">
        <v>2840</v>
      </c>
      <c r="M70">
        <v>8520</v>
      </c>
      <c r="N70">
        <v>30</v>
      </c>
      <c r="O70">
        <v>2556</v>
      </c>
      <c r="P70">
        <v>5964</v>
      </c>
      <c r="Q70">
        <v>3009</v>
      </c>
      <c r="R70">
        <v>2955</v>
      </c>
      <c r="S70">
        <v>0</v>
      </c>
      <c r="T70">
        <v>0</v>
      </c>
      <c r="U70">
        <v>4.8</v>
      </c>
    </row>
    <row r="71" spans="1:21" x14ac:dyDescent="0.35">
      <c r="A71" t="s">
        <v>449</v>
      </c>
      <c r="B71" t="s">
        <v>36</v>
      </c>
      <c r="C71" s="32">
        <v>45179</v>
      </c>
      <c r="D71" t="s">
        <v>113</v>
      </c>
      <c r="E71" t="s">
        <v>52</v>
      </c>
      <c r="F71" t="s">
        <v>94</v>
      </c>
      <c r="G71" t="s">
        <v>55</v>
      </c>
      <c r="H71" t="s">
        <v>68</v>
      </c>
      <c r="I71" t="s">
        <v>65</v>
      </c>
      <c r="J71" t="s">
        <v>99</v>
      </c>
      <c r="K71">
        <v>8</v>
      </c>
      <c r="L71">
        <v>3575</v>
      </c>
      <c r="M71">
        <v>28600</v>
      </c>
      <c r="N71">
        <v>0</v>
      </c>
      <c r="O71">
        <v>0</v>
      </c>
      <c r="P71">
        <v>28600</v>
      </c>
      <c r="Q71">
        <v>15231</v>
      </c>
      <c r="R71">
        <v>13369</v>
      </c>
      <c r="S71">
        <v>0</v>
      </c>
      <c r="T71">
        <v>0</v>
      </c>
      <c r="U71">
        <v>2.6</v>
      </c>
    </row>
    <row r="72" spans="1:21" x14ac:dyDescent="0.35">
      <c r="A72" t="s">
        <v>452</v>
      </c>
      <c r="B72" t="s">
        <v>36</v>
      </c>
      <c r="C72" s="32">
        <v>45181</v>
      </c>
      <c r="D72" t="s">
        <v>97</v>
      </c>
      <c r="E72" t="s">
        <v>59</v>
      </c>
      <c r="F72" t="s">
        <v>98</v>
      </c>
      <c r="G72" t="s">
        <v>55</v>
      </c>
      <c r="H72" t="s">
        <v>66</v>
      </c>
      <c r="I72" t="s">
        <v>65</v>
      </c>
      <c r="J72" t="s">
        <v>95</v>
      </c>
      <c r="K72">
        <v>4</v>
      </c>
      <c r="L72">
        <v>3041</v>
      </c>
      <c r="M72">
        <v>12164</v>
      </c>
      <c r="N72">
        <v>0</v>
      </c>
      <c r="O72">
        <v>0</v>
      </c>
      <c r="P72">
        <v>12164</v>
      </c>
      <c r="Q72">
        <v>5627</v>
      </c>
      <c r="R72">
        <v>6537</v>
      </c>
      <c r="S72">
        <v>1</v>
      </c>
      <c r="T72">
        <v>3041</v>
      </c>
      <c r="U72">
        <v>4</v>
      </c>
    </row>
    <row r="73" spans="1:21" x14ac:dyDescent="0.35">
      <c r="A73" t="s">
        <v>459</v>
      </c>
      <c r="B73" t="s">
        <v>36</v>
      </c>
      <c r="C73" s="32">
        <v>45186</v>
      </c>
      <c r="D73" t="s">
        <v>93</v>
      </c>
      <c r="E73" t="s">
        <v>56</v>
      </c>
      <c r="F73" t="s">
        <v>94</v>
      </c>
      <c r="G73" t="s">
        <v>49</v>
      </c>
      <c r="H73" t="s">
        <v>68</v>
      </c>
      <c r="I73" t="s">
        <v>65</v>
      </c>
      <c r="J73" t="s">
        <v>95</v>
      </c>
      <c r="K73">
        <v>7</v>
      </c>
      <c r="L73">
        <v>4815</v>
      </c>
      <c r="M73">
        <v>33705</v>
      </c>
      <c r="N73">
        <v>40</v>
      </c>
      <c r="O73">
        <v>13482</v>
      </c>
      <c r="P73">
        <v>20223</v>
      </c>
      <c r="Q73">
        <v>12676</v>
      </c>
      <c r="R73">
        <v>7547</v>
      </c>
      <c r="S73">
        <v>1</v>
      </c>
      <c r="T73">
        <v>2889</v>
      </c>
      <c r="U73">
        <v>2.9</v>
      </c>
    </row>
    <row r="74" spans="1:21" x14ac:dyDescent="0.35">
      <c r="A74" t="s">
        <v>461</v>
      </c>
      <c r="B74" t="s">
        <v>36</v>
      </c>
      <c r="C74" s="32">
        <v>45186</v>
      </c>
      <c r="D74" t="s">
        <v>105</v>
      </c>
      <c r="E74" t="s">
        <v>58</v>
      </c>
      <c r="F74" t="s">
        <v>102</v>
      </c>
      <c r="G74" t="s">
        <v>57</v>
      </c>
      <c r="H74" t="s">
        <v>64</v>
      </c>
      <c r="I74" t="s">
        <v>65</v>
      </c>
      <c r="J74" t="s">
        <v>99</v>
      </c>
      <c r="K74">
        <v>1</v>
      </c>
      <c r="L74">
        <v>3287</v>
      </c>
      <c r="M74">
        <v>3287</v>
      </c>
      <c r="N74">
        <v>25</v>
      </c>
      <c r="O74">
        <v>822</v>
      </c>
      <c r="P74">
        <v>2465</v>
      </c>
      <c r="Q74">
        <v>1266</v>
      </c>
      <c r="R74">
        <v>1199</v>
      </c>
      <c r="S74">
        <v>0</v>
      </c>
      <c r="T74">
        <v>0</v>
      </c>
      <c r="U74">
        <v>3.4</v>
      </c>
    </row>
    <row r="75" spans="1:21" x14ac:dyDescent="0.35">
      <c r="A75" t="s">
        <v>466</v>
      </c>
      <c r="B75" t="s">
        <v>36</v>
      </c>
      <c r="C75" s="32">
        <v>45189</v>
      </c>
      <c r="D75" t="s">
        <v>120</v>
      </c>
      <c r="E75" t="s">
        <v>50</v>
      </c>
      <c r="F75" t="s">
        <v>124</v>
      </c>
      <c r="G75" t="s">
        <v>49</v>
      </c>
      <c r="H75" t="s">
        <v>66</v>
      </c>
      <c r="I75" t="s">
        <v>65</v>
      </c>
      <c r="J75" t="s">
        <v>99</v>
      </c>
      <c r="K75">
        <v>15</v>
      </c>
      <c r="L75">
        <v>1254</v>
      </c>
      <c r="M75">
        <v>18810</v>
      </c>
      <c r="N75">
        <v>25</v>
      </c>
      <c r="O75">
        <v>4702</v>
      </c>
      <c r="P75">
        <v>14108</v>
      </c>
      <c r="Q75">
        <v>7809</v>
      </c>
      <c r="R75">
        <v>6299</v>
      </c>
      <c r="S75">
        <v>1</v>
      </c>
      <c r="T75">
        <v>940</v>
      </c>
      <c r="U75">
        <v>4.4000000000000004</v>
      </c>
    </row>
    <row r="76" spans="1:21" x14ac:dyDescent="0.35">
      <c r="A76" t="s">
        <v>485</v>
      </c>
      <c r="B76" t="s">
        <v>37</v>
      </c>
      <c r="C76" s="32">
        <v>45203</v>
      </c>
      <c r="D76" t="s">
        <v>105</v>
      </c>
      <c r="E76" t="s">
        <v>52</v>
      </c>
      <c r="F76" t="s">
        <v>151</v>
      </c>
      <c r="G76" t="s">
        <v>55</v>
      </c>
      <c r="H76" t="s">
        <v>66</v>
      </c>
      <c r="I76" t="s">
        <v>65</v>
      </c>
      <c r="J76" t="s">
        <v>95</v>
      </c>
      <c r="K76">
        <v>10</v>
      </c>
      <c r="L76">
        <v>2815</v>
      </c>
      <c r="M76">
        <v>28150</v>
      </c>
      <c r="N76">
        <v>25</v>
      </c>
      <c r="O76">
        <v>7038</v>
      </c>
      <c r="P76">
        <v>21112</v>
      </c>
      <c r="Q76">
        <v>11260</v>
      </c>
      <c r="R76">
        <v>9852</v>
      </c>
      <c r="S76">
        <v>1</v>
      </c>
      <c r="T76">
        <v>2111</v>
      </c>
      <c r="U76">
        <v>3.5</v>
      </c>
    </row>
    <row r="77" spans="1:21" x14ac:dyDescent="0.35">
      <c r="A77" t="s">
        <v>486</v>
      </c>
      <c r="B77" t="s">
        <v>37</v>
      </c>
      <c r="C77" s="32">
        <v>45203</v>
      </c>
      <c r="D77" t="s">
        <v>101</v>
      </c>
      <c r="E77" t="s">
        <v>56</v>
      </c>
      <c r="F77" t="s">
        <v>108</v>
      </c>
      <c r="G77" t="s">
        <v>55</v>
      </c>
      <c r="H77" t="s">
        <v>66</v>
      </c>
      <c r="I77" t="s">
        <v>65</v>
      </c>
      <c r="J77" t="s">
        <v>95</v>
      </c>
      <c r="K77">
        <v>1</v>
      </c>
      <c r="L77">
        <v>1894</v>
      </c>
      <c r="M77">
        <v>1894</v>
      </c>
      <c r="N77">
        <v>25</v>
      </c>
      <c r="O77">
        <v>474</v>
      </c>
      <c r="P77">
        <v>1420</v>
      </c>
      <c r="Q77">
        <v>919</v>
      </c>
      <c r="R77">
        <v>501</v>
      </c>
      <c r="S77">
        <v>0</v>
      </c>
      <c r="T77">
        <v>0</v>
      </c>
      <c r="U77">
        <v>3.5</v>
      </c>
    </row>
    <row r="78" spans="1:21" x14ac:dyDescent="0.35">
      <c r="A78" t="s">
        <v>490</v>
      </c>
      <c r="B78" t="s">
        <v>37</v>
      </c>
      <c r="C78" s="32">
        <v>45206</v>
      </c>
      <c r="D78" t="s">
        <v>113</v>
      </c>
      <c r="E78" t="s">
        <v>58</v>
      </c>
      <c r="F78" t="s">
        <v>106</v>
      </c>
      <c r="G78" t="s">
        <v>51</v>
      </c>
      <c r="H78" t="s">
        <v>64</v>
      </c>
      <c r="I78" t="s">
        <v>65</v>
      </c>
      <c r="J78" t="s">
        <v>95</v>
      </c>
      <c r="K78">
        <v>4</v>
      </c>
      <c r="L78">
        <v>2844</v>
      </c>
      <c r="M78">
        <v>11376</v>
      </c>
      <c r="N78">
        <v>0</v>
      </c>
      <c r="O78">
        <v>0</v>
      </c>
      <c r="P78">
        <v>11376</v>
      </c>
      <c r="Q78">
        <v>7824</v>
      </c>
      <c r="R78">
        <v>3552</v>
      </c>
      <c r="S78">
        <v>0</v>
      </c>
      <c r="T78">
        <v>0</v>
      </c>
      <c r="U78">
        <v>4.4000000000000004</v>
      </c>
    </row>
    <row r="79" spans="1:21" x14ac:dyDescent="0.35">
      <c r="A79" t="s">
        <v>500</v>
      </c>
      <c r="B79" t="s">
        <v>37</v>
      </c>
      <c r="C79" s="32">
        <v>45209</v>
      </c>
      <c r="D79" t="s">
        <v>142</v>
      </c>
      <c r="E79" t="s">
        <v>52</v>
      </c>
      <c r="F79" t="s">
        <v>134</v>
      </c>
      <c r="G79" t="s">
        <v>53</v>
      </c>
      <c r="H79" t="s">
        <v>68</v>
      </c>
      <c r="I79" t="s">
        <v>65</v>
      </c>
      <c r="J79" t="s">
        <v>103</v>
      </c>
      <c r="K79">
        <v>6</v>
      </c>
      <c r="L79">
        <v>818</v>
      </c>
      <c r="M79">
        <v>4908</v>
      </c>
      <c r="N79">
        <v>50</v>
      </c>
      <c r="O79">
        <v>2454</v>
      </c>
      <c r="P79">
        <v>2454</v>
      </c>
      <c r="Q79">
        <v>1509</v>
      </c>
      <c r="R79">
        <v>945</v>
      </c>
      <c r="S79">
        <v>0</v>
      </c>
      <c r="T79">
        <v>0</v>
      </c>
      <c r="U79">
        <v>4.5999999999999996</v>
      </c>
    </row>
    <row r="80" spans="1:21" x14ac:dyDescent="0.35">
      <c r="A80" t="s">
        <v>508</v>
      </c>
      <c r="B80" t="s">
        <v>37</v>
      </c>
      <c r="C80" s="32">
        <v>45214</v>
      </c>
      <c r="D80" t="s">
        <v>97</v>
      </c>
      <c r="E80" t="s">
        <v>54</v>
      </c>
      <c r="F80" t="s">
        <v>98</v>
      </c>
      <c r="G80" t="s">
        <v>55</v>
      </c>
      <c r="H80" t="s">
        <v>68</v>
      </c>
      <c r="I80" t="s">
        <v>65</v>
      </c>
      <c r="J80" t="s">
        <v>103</v>
      </c>
      <c r="K80">
        <v>1</v>
      </c>
      <c r="L80">
        <v>4850</v>
      </c>
      <c r="M80">
        <v>4850</v>
      </c>
      <c r="N80">
        <v>20</v>
      </c>
      <c r="O80">
        <v>970</v>
      </c>
      <c r="P80">
        <v>3880</v>
      </c>
      <c r="Q80">
        <v>2087</v>
      </c>
      <c r="R80">
        <v>1793</v>
      </c>
      <c r="S80">
        <v>0</v>
      </c>
      <c r="T80">
        <v>0</v>
      </c>
      <c r="U80">
        <v>2.9</v>
      </c>
    </row>
    <row r="81" spans="1:21" x14ac:dyDescent="0.35">
      <c r="A81" t="s">
        <v>510</v>
      </c>
      <c r="B81" t="s">
        <v>37</v>
      </c>
      <c r="C81" s="32">
        <v>45215</v>
      </c>
      <c r="D81" t="s">
        <v>131</v>
      </c>
      <c r="E81" t="s">
        <v>56</v>
      </c>
      <c r="F81" t="s">
        <v>151</v>
      </c>
      <c r="G81" t="s">
        <v>49</v>
      </c>
      <c r="H81" t="s">
        <v>66</v>
      </c>
      <c r="I81" t="s">
        <v>65</v>
      </c>
      <c r="J81" t="s">
        <v>95</v>
      </c>
      <c r="K81">
        <v>14</v>
      </c>
      <c r="L81">
        <v>2469</v>
      </c>
      <c r="M81">
        <v>34566</v>
      </c>
      <c r="N81">
        <v>0</v>
      </c>
      <c r="O81">
        <v>0</v>
      </c>
      <c r="P81">
        <v>34566</v>
      </c>
      <c r="Q81">
        <v>17803</v>
      </c>
      <c r="R81">
        <v>16763</v>
      </c>
      <c r="S81">
        <v>2</v>
      </c>
      <c r="T81">
        <v>4938</v>
      </c>
      <c r="U81">
        <v>3</v>
      </c>
    </row>
    <row r="82" spans="1:21" x14ac:dyDescent="0.35">
      <c r="A82" t="s">
        <v>514</v>
      </c>
      <c r="B82" t="s">
        <v>37</v>
      </c>
      <c r="C82" s="32">
        <v>45217</v>
      </c>
      <c r="D82" t="s">
        <v>113</v>
      </c>
      <c r="E82" t="s">
        <v>58</v>
      </c>
      <c r="F82" t="s">
        <v>116</v>
      </c>
      <c r="G82" t="s">
        <v>57</v>
      </c>
      <c r="H82" t="s">
        <v>68</v>
      </c>
      <c r="I82" t="s">
        <v>65</v>
      </c>
      <c r="J82" t="s">
        <v>103</v>
      </c>
      <c r="K82">
        <v>3</v>
      </c>
      <c r="L82">
        <v>4014</v>
      </c>
      <c r="M82">
        <v>12042</v>
      </c>
      <c r="N82">
        <v>5</v>
      </c>
      <c r="O82">
        <v>602</v>
      </c>
      <c r="P82">
        <v>11440</v>
      </c>
      <c r="Q82">
        <v>6580</v>
      </c>
      <c r="R82">
        <v>4860</v>
      </c>
      <c r="S82">
        <v>1</v>
      </c>
      <c r="T82">
        <v>3813</v>
      </c>
      <c r="U82">
        <v>2.6</v>
      </c>
    </row>
    <row r="83" spans="1:21" x14ac:dyDescent="0.35">
      <c r="A83" t="s">
        <v>515</v>
      </c>
      <c r="B83" t="s">
        <v>37</v>
      </c>
      <c r="C83" s="32">
        <v>45217</v>
      </c>
      <c r="D83" t="s">
        <v>120</v>
      </c>
      <c r="E83" t="s">
        <v>48</v>
      </c>
      <c r="F83" t="s">
        <v>111</v>
      </c>
      <c r="G83" t="s">
        <v>57</v>
      </c>
      <c r="H83" t="s">
        <v>64</v>
      </c>
      <c r="I83" t="s">
        <v>65</v>
      </c>
      <c r="J83" t="s">
        <v>103</v>
      </c>
      <c r="K83">
        <v>5</v>
      </c>
      <c r="L83">
        <v>1124</v>
      </c>
      <c r="M83">
        <v>5620</v>
      </c>
      <c r="N83">
        <v>0</v>
      </c>
      <c r="O83">
        <v>0</v>
      </c>
      <c r="P83">
        <v>5620</v>
      </c>
      <c r="Q83">
        <v>2656</v>
      </c>
      <c r="R83">
        <v>2964</v>
      </c>
      <c r="S83">
        <v>0</v>
      </c>
      <c r="T83">
        <v>0</v>
      </c>
      <c r="U83">
        <v>4</v>
      </c>
    </row>
    <row r="84" spans="1:21" x14ac:dyDescent="0.35">
      <c r="A84" t="s">
        <v>516</v>
      </c>
      <c r="B84" t="s">
        <v>37</v>
      </c>
      <c r="C84" s="32">
        <v>45217</v>
      </c>
      <c r="D84" t="s">
        <v>122</v>
      </c>
      <c r="E84" t="s">
        <v>52</v>
      </c>
      <c r="F84" t="s">
        <v>98</v>
      </c>
      <c r="G84" t="s">
        <v>55</v>
      </c>
      <c r="H84" t="s">
        <v>64</v>
      </c>
      <c r="I84" t="s">
        <v>65</v>
      </c>
      <c r="J84" t="s">
        <v>99</v>
      </c>
      <c r="K84">
        <v>11</v>
      </c>
      <c r="L84">
        <v>3328</v>
      </c>
      <c r="M84">
        <v>36608</v>
      </c>
      <c r="N84">
        <v>40</v>
      </c>
      <c r="O84">
        <v>14643</v>
      </c>
      <c r="P84">
        <v>21965</v>
      </c>
      <c r="Q84">
        <v>12468</v>
      </c>
      <c r="R84">
        <v>9497</v>
      </c>
      <c r="S84">
        <v>0</v>
      </c>
      <c r="T84">
        <v>0</v>
      </c>
      <c r="U84">
        <v>2.9</v>
      </c>
    </row>
    <row r="85" spans="1:21" x14ac:dyDescent="0.35">
      <c r="A85" t="s">
        <v>519</v>
      </c>
      <c r="B85" t="s">
        <v>37</v>
      </c>
      <c r="C85" s="32">
        <v>45222</v>
      </c>
      <c r="D85" t="s">
        <v>93</v>
      </c>
      <c r="E85" t="s">
        <v>54</v>
      </c>
      <c r="F85" t="s">
        <v>151</v>
      </c>
      <c r="G85" t="s">
        <v>49</v>
      </c>
      <c r="H85" t="s">
        <v>66</v>
      </c>
      <c r="I85" t="s">
        <v>65</v>
      </c>
      <c r="J85" t="s">
        <v>103</v>
      </c>
      <c r="K85">
        <v>6</v>
      </c>
      <c r="L85">
        <v>831</v>
      </c>
      <c r="M85">
        <v>4986</v>
      </c>
      <c r="N85">
        <v>40</v>
      </c>
      <c r="O85">
        <v>1994</v>
      </c>
      <c r="P85">
        <v>2992</v>
      </c>
      <c r="Q85">
        <v>2066</v>
      </c>
      <c r="R85">
        <v>926</v>
      </c>
      <c r="S85">
        <v>0</v>
      </c>
      <c r="T85">
        <v>0</v>
      </c>
      <c r="U85">
        <v>2.9</v>
      </c>
    </row>
    <row r="86" spans="1:21" x14ac:dyDescent="0.35">
      <c r="A86" t="s">
        <v>525</v>
      </c>
      <c r="B86" t="s">
        <v>37</v>
      </c>
      <c r="C86" s="32">
        <v>45226</v>
      </c>
      <c r="D86" t="s">
        <v>122</v>
      </c>
      <c r="E86" t="s">
        <v>58</v>
      </c>
      <c r="F86" t="s">
        <v>108</v>
      </c>
      <c r="G86" t="s">
        <v>49</v>
      </c>
      <c r="H86" t="s">
        <v>68</v>
      </c>
      <c r="I86" t="s">
        <v>65</v>
      </c>
      <c r="J86" t="s">
        <v>103</v>
      </c>
      <c r="K86">
        <v>15</v>
      </c>
      <c r="L86">
        <v>1027</v>
      </c>
      <c r="M86">
        <v>15405</v>
      </c>
      <c r="N86">
        <v>10</v>
      </c>
      <c r="O86">
        <v>1540</v>
      </c>
      <c r="P86">
        <v>13865</v>
      </c>
      <c r="Q86">
        <v>9458</v>
      </c>
      <c r="R86">
        <v>4407</v>
      </c>
      <c r="S86">
        <v>0</v>
      </c>
      <c r="T86">
        <v>0</v>
      </c>
      <c r="U86">
        <v>4.4000000000000004</v>
      </c>
    </row>
    <row r="87" spans="1:21" x14ac:dyDescent="0.35">
      <c r="A87" t="s">
        <v>527</v>
      </c>
      <c r="B87" t="s">
        <v>37</v>
      </c>
      <c r="C87" s="32">
        <v>45227</v>
      </c>
      <c r="D87" t="s">
        <v>122</v>
      </c>
      <c r="E87" t="s">
        <v>56</v>
      </c>
      <c r="F87" t="s">
        <v>98</v>
      </c>
      <c r="G87" t="s">
        <v>53</v>
      </c>
      <c r="H87" t="s">
        <v>66</v>
      </c>
      <c r="I87" t="s">
        <v>65</v>
      </c>
      <c r="J87" t="s">
        <v>103</v>
      </c>
      <c r="K87">
        <v>14</v>
      </c>
      <c r="L87">
        <v>1421</v>
      </c>
      <c r="M87">
        <v>19894</v>
      </c>
      <c r="N87">
        <v>15</v>
      </c>
      <c r="O87">
        <v>2984</v>
      </c>
      <c r="P87">
        <v>16910</v>
      </c>
      <c r="Q87">
        <v>7974</v>
      </c>
      <c r="R87">
        <v>8936</v>
      </c>
      <c r="S87">
        <v>3</v>
      </c>
      <c r="T87">
        <v>3624</v>
      </c>
      <c r="U87">
        <v>2.8</v>
      </c>
    </row>
    <row r="88" spans="1:21" x14ac:dyDescent="0.35">
      <c r="A88" t="s">
        <v>537</v>
      </c>
      <c r="B88" t="s">
        <v>38</v>
      </c>
      <c r="C88" s="32">
        <v>45237</v>
      </c>
      <c r="D88" t="s">
        <v>105</v>
      </c>
      <c r="E88" t="s">
        <v>48</v>
      </c>
      <c r="F88" t="s">
        <v>134</v>
      </c>
      <c r="G88" t="s">
        <v>51</v>
      </c>
      <c r="H88" t="s">
        <v>66</v>
      </c>
      <c r="I88" t="s">
        <v>65</v>
      </c>
      <c r="J88" t="s">
        <v>99</v>
      </c>
      <c r="K88">
        <v>15</v>
      </c>
      <c r="L88">
        <v>2380</v>
      </c>
      <c r="M88">
        <v>35700</v>
      </c>
      <c r="N88">
        <v>30</v>
      </c>
      <c r="O88">
        <v>10710</v>
      </c>
      <c r="P88">
        <v>24990</v>
      </c>
      <c r="Q88">
        <v>13153</v>
      </c>
      <c r="R88">
        <v>11837</v>
      </c>
      <c r="S88">
        <v>0</v>
      </c>
      <c r="T88">
        <v>0</v>
      </c>
      <c r="U88">
        <v>4</v>
      </c>
    </row>
    <row r="89" spans="1:21" x14ac:dyDescent="0.35">
      <c r="A89" t="s">
        <v>538</v>
      </c>
      <c r="B89" t="s">
        <v>38</v>
      </c>
      <c r="C89" s="32">
        <v>45237</v>
      </c>
      <c r="D89" t="s">
        <v>113</v>
      </c>
      <c r="E89" t="s">
        <v>56</v>
      </c>
      <c r="F89" t="s">
        <v>98</v>
      </c>
      <c r="G89" t="s">
        <v>49</v>
      </c>
      <c r="H89" t="s">
        <v>64</v>
      </c>
      <c r="I89" t="s">
        <v>65</v>
      </c>
      <c r="J89" t="s">
        <v>95</v>
      </c>
      <c r="K89">
        <v>8</v>
      </c>
      <c r="L89">
        <v>4064</v>
      </c>
      <c r="M89">
        <v>32512</v>
      </c>
      <c r="N89">
        <v>0</v>
      </c>
      <c r="O89">
        <v>0</v>
      </c>
      <c r="P89">
        <v>32512</v>
      </c>
      <c r="Q89">
        <v>17564</v>
      </c>
      <c r="R89">
        <v>14948</v>
      </c>
      <c r="S89">
        <v>2</v>
      </c>
      <c r="T89">
        <v>8128</v>
      </c>
      <c r="U89">
        <v>4.8</v>
      </c>
    </row>
    <row r="90" spans="1:21" x14ac:dyDescent="0.35">
      <c r="A90" t="s">
        <v>544</v>
      </c>
      <c r="B90" t="s">
        <v>38</v>
      </c>
      <c r="C90" s="32">
        <v>45240</v>
      </c>
      <c r="D90" t="s">
        <v>115</v>
      </c>
      <c r="E90" t="s">
        <v>58</v>
      </c>
      <c r="F90" t="s">
        <v>102</v>
      </c>
      <c r="G90" t="s">
        <v>55</v>
      </c>
      <c r="H90" t="s">
        <v>66</v>
      </c>
      <c r="I90" t="s">
        <v>65</v>
      </c>
      <c r="J90" t="s">
        <v>95</v>
      </c>
      <c r="K90">
        <v>12</v>
      </c>
      <c r="L90">
        <v>4348</v>
      </c>
      <c r="M90">
        <v>52176</v>
      </c>
      <c r="N90">
        <v>40</v>
      </c>
      <c r="O90">
        <v>20870</v>
      </c>
      <c r="P90">
        <v>31306</v>
      </c>
      <c r="Q90">
        <v>16116</v>
      </c>
      <c r="R90">
        <v>15190</v>
      </c>
      <c r="S90">
        <v>1</v>
      </c>
      <c r="T90">
        <v>2609</v>
      </c>
      <c r="U90">
        <v>4.5999999999999996</v>
      </c>
    </row>
    <row r="91" spans="1:21" x14ac:dyDescent="0.35">
      <c r="A91" t="s">
        <v>555</v>
      </c>
      <c r="B91" t="s">
        <v>38</v>
      </c>
      <c r="C91" s="32">
        <v>45251</v>
      </c>
      <c r="D91" t="s">
        <v>142</v>
      </c>
      <c r="E91" t="s">
        <v>54</v>
      </c>
      <c r="F91" t="s">
        <v>98</v>
      </c>
      <c r="G91" t="s">
        <v>57</v>
      </c>
      <c r="H91" t="s">
        <v>66</v>
      </c>
      <c r="I91" t="s">
        <v>65</v>
      </c>
      <c r="J91" t="s">
        <v>103</v>
      </c>
      <c r="K91">
        <v>13</v>
      </c>
      <c r="L91">
        <v>4882</v>
      </c>
      <c r="M91">
        <v>63466</v>
      </c>
      <c r="N91">
        <v>10</v>
      </c>
      <c r="O91">
        <v>6347</v>
      </c>
      <c r="P91">
        <v>57119</v>
      </c>
      <c r="Q91">
        <v>31111</v>
      </c>
      <c r="R91">
        <v>26008</v>
      </c>
      <c r="S91">
        <v>3</v>
      </c>
      <c r="T91">
        <v>13181</v>
      </c>
      <c r="U91">
        <v>2.6</v>
      </c>
    </row>
    <row r="92" spans="1:21" x14ac:dyDescent="0.35">
      <c r="A92" t="s">
        <v>557</v>
      </c>
      <c r="B92" t="s">
        <v>38</v>
      </c>
      <c r="C92" s="32">
        <v>45253</v>
      </c>
      <c r="D92" t="s">
        <v>93</v>
      </c>
      <c r="E92" t="s">
        <v>48</v>
      </c>
      <c r="F92" t="s">
        <v>94</v>
      </c>
      <c r="G92" t="s">
        <v>55</v>
      </c>
      <c r="H92" t="s">
        <v>66</v>
      </c>
      <c r="I92" t="s">
        <v>65</v>
      </c>
      <c r="J92" t="s">
        <v>95</v>
      </c>
      <c r="K92">
        <v>3</v>
      </c>
      <c r="L92">
        <v>4024</v>
      </c>
      <c r="M92">
        <v>12072</v>
      </c>
      <c r="N92">
        <v>50</v>
      </c>
      <c r="O92">
        <v>6036</v>
      </c>
      <c r="P92">
        <v>6036</v>
      </c>
      <c r="Q92">
        <v>3322</v>
      </c>
      <c r="R92">
        <v>2714</v>
      </c>
      <c r="S92">
        <v>1</v>
      </c>
      <c r="T92">
        <v>2012</v>
      </c>
      <c r="U92">
        <v>4.0999999999999996</v>
      </c>
    </row>
    <row r="93" spans="1:21" x14ac:dyDescent="0.35">
      <c r="A93" t="s">
        <v>566</v>
      </c>
      <c r="B93" t="s">
        <v>38</v>
      </c>
      <c r="C93" s="32">
        <v>45260</v>
      </c>
      <c r="D93" t="s">
        <v>105</v>
      </c>
      <c r="E93" t="s">
        <v>54</v>
      </c>
      <c r="F93" t="s">
        <v>134</v>
      </c>
      <c r="G93" t="s">
        <v>57</v>
      </c>
      <c r="H93" t="s">
        <v>68</v>
      </c>
      <c r="I93" t="s">
        <v>65</v>
      </c>
      <c r="J93" t="s">
        <v>99</v>
      </c>
      <c r="K93">
        <v>14</v>
      </c>
      <c r="L93">
        <v>3735</v>
      </c>
      <c r="M93">
        <v>52290</v>
      </c>
      <c r="N93">
        <v>20</v>
      </c>
      <c r="O93">
        <v>10458</v>
      </c>
      <c r="P93">
        <v>41832</v>
      </c>
      <c r="Q93">
        <v>22195</v>
      </c>
      <c r="R93">
        <v>19637</v>
      </c>
      <c r="S93">
        <v>1</v>
      </c>
      <c r="T93">
        <v>2988</v>
      </c>
      <c r="U93">
        <v>4.5999999999999996</v>
      </c>
    </row>
    <row r="94" spans="1:21" x14ac:dyDescent="0.35">
      <c r="A94" t="s">
        <v>567</v>
      </c>
      <c r="B94" t="s">
        <v>39</v>
      </c>
      <c r="C94" s="32">
        <v>45261</v>
      </c>
      <c r="D94" t="s">
        <v>142</v>
      </c>
      <c r="E94" t="s">
        <v>54</v>
      </c>
      <c r="F94" t="s">
        <v>108</v>
      </c>
      <c r="G94" t="s">
        <v>57</v>
      </c>
      <c r="H94" t="s">
        <v>66</v>
      </c>
      <c r="I94" t="s">
        <v>65</v>
      </c>
      <c r="J94" t="s">
        <v>99</v>
      </c>
      <c r="K94">
        <v>15</v>
      </c>
      <c r="L94">
        <v>2390</v>
      </c>
      <c r="M94">
        <v>35850</v>
      </c>
      <c r="N94">
        <v>25</v>
      </c>
      <c r="O94">
        <v>8962</v>
      </c>
      <c r="P94">
        <v>26888</v>
      </c>
      <c r="Q94">
        <v>17127</v>
      </c>
      <c r="R94">
        <v>9761</v>
      </c>
      <c r="S94">
        <v>3</v>
      </c>
      <c r="T94">
        <v>5378</v>
      </c>
      <c r="U94">
        <v>3.5</v>
      </c>
    </row>
    <row r="95" spans="1:21" x14ac:dyDescent="0.35">
      <c r="A95" t="s">
        <v>568</v>
      </c>
      <c r="B95" t="s">
        <v>39</v>
      </c>
      <c r="C95" s="32">
        <v>45261</v>
      </c>
      <c r="D95" t="s">
        <v>101</v>
      </c>
      <c r="E95" t="s">
        <v>58</v>
      </c>
      <c r="F95" t="s">
        <v>134</v>
      </c>
      <c r="G95" t="s">
        <v>49</v>
      </c>
      <c r="H95" t="s">
        <v>66</v>
      </c>
      <c r="I95" t="s">
        <v>65</v>
      </c>
      <c r="J95" t="s">
        <v>95</v>
      </c>
      <c r="K95">
        <v>5</v>
      </c>
      <c r="L95">
        <v>2764</v>
      </c>
      <c r="M95">
        <v>13820</v>
      </c>
      <c r="N95">
        <v>25</v>
      </c>
      <c r="O95">
        <v>3455</v>
      </c>
      <c r="P95">
        <v>10365</v>
      </c>
      <c r="Q95">
        <v>6063</v>
      </c>
      <c r="R95">
        <v>4302</v>
      </c>
      <c r="S95">
        <v>0</v>
      </c>
      <c r="T95">
        <v>0</v>
      </c>
      <c r="U95">
        <v>3.3</v>
      </c>
    </row>
    <row r="96" spans="1:21" x14ac:dyDescent="0.35">
      <c r="A96" t="s">
        <v>572</v>
      </c>
      <c r="B96" t="s">
        <v>39</v>
      </c>
      <c r="C96" s="32">
        <v>45262</v>
      </c>
      <c r="D96" t="s">
        <v>105</v>
      </c>
      <c r="E96" t="s">
        <v>59</v>
      </c>
      <c r="F96" t="s">
        <v>111</v>
      </c>
      <c r="G96" t="s">
        <v>49</v>
      </c>
      <c r="H96" t="s">
        <v>68</v>
      </c>
      <c r="I96" t="s">
        <v>65</v>
      </c>
      <c r="J96" t="s">
        <v>99</v>
      </c>
      <c r="K96">
        <v>11</v>
      </c>
      <c r="L96">
        <v>2156</v>
      </c>
      <c r="M96">
        <v>23716</v>
      </c>
      <c r="N96">
        <v>15</v>
      </c>
      <c r="O96">
        <v>3557</v>
      </c>
      <c r="P96">
        <v>20159</v>
      </c>
      <c r="Q96">
        <v>11681</v>
      </c>
      <c r="R96">
        <v>8478</v>
      </c>
      <c r="S96">
        <v>2</v>
      </c>
      <c r="T96">
        <v>3665</v>
      </c>
      <c r="U96">
        <v>4.3</v>
      </c>
    </row>
    <row r="97" spans="1:21" x14ac:dyDescent="0.35">
      <c r="A97" t="s">
        <v>575</v>
      </c>
      <c r="B97" t="s">
        <v>39</v>
      </c>
      <c r="C97" s="32">
        <v>45263</v>
      </c>
      <c r="D97" t="s">
        <v>93</v>
      </c>
      <c r="E97" t="s">
        <v>50</v>
      </c>
      <c r="F97" t="s">
        <v>111</v>
      </c>
      <c r="G97" t="s">
        <v>49</v>
      </c>
      <c r="H97" t="s">
        <v>64</v>
      </c>
      <c r="I97" t="s">
        <v>65</v>
      </c>
      <c r="J97" t="s">
        <v>99</v>
      </c>
      <c r="K97">
        <v>15</v>
      </c>
      <c r="L97">
        <v>4007</v>
      </c>
      <c r="M97">
        <v>60105</v>
      </c>
      <c r="N97">
        <v>30</v>
      </c>
      <c r="O97">
        <v>18032</v>
      </c>
      <c r="P97">
        <v>42073</v>
      </c>
      <c r="Q97">
        <v>25488</v>
      </c>
      <c r="R97">
        <v>16585</v>
      </c>
      <c r="S97">
        <v>3</v>
      </c>
      <c r="T97">
        <v>8415</v>
      </c>
      <c r="U97">
        <v>3.8</v>
      </c>
    </row>
    <row r="98" spans="1:21" x14ac:dyDescent="0.35">
      <c r="A98" t="s">
        <v>580</v>
      </c>
      <c r="B98" t="s">
        <v>39</v>
      </c>
      <c r="C98" s="32">
        <v>45266</v>
      </c>
      <c r="D98" t="s">
        <v>131</v>
      </c>
      <c r="E98" t="s">
        <v>52</v>
      </c>
      <c r="F98" t="s">
        <v>94</v>
      </c>
      <c r="G98" t="s">
        <v>53</v>
      </c>
      <c r="H98" t="s">
        <v>66</v>
      </c>
      <c r="I98" t="s">
        <v>65</v>
      </c>
      <c r="J98" t="s">
        <v>95</v>
      </c>
      <c r="K98">
        <v>10</v>
      </c>
      <c r="L98">
        <v>3631</v>
      </c>
      <c r="M98">
        <v>36310</v>
      </c>
      <c r="N98">
        <v>5</v>
      </c>
      <c r="O98">
        <v>1816</v>
      </c>
      <c r="P98">
        <v>34494</v>
      </c>
      <c r="Q98">
        <v>18192</v>
      </c>
      <c r="R98">
        <v>16302</v>
      </c>
      <c r="S98">
        <v>1</v>
      </c>
      <c r="T98">
        <v>3449</v>
      </c>
      <c r="U98">
        <v>4.0999999999999996</v>
      </c>
    </row>
    <row r="99" spans="1:21" x14ac:dyDescent="0.35">
      <c r="A99" t="s">
        <v>583</v>
      </c>
      <c r="B99" t="s">
        <v>39</v>
      </c>
      <c r="C99" s="32">
        <v>45268</v>
      </c>
      <c r="D99" t="s">
        <v>115</v>
      </c>
      <c r="E99" t="s">
        <v>56</v>
      </c>
      <c r="F99" t="s">
        <v>116</v>
      </c>
      <c r="G99" t="s">
        <v>57</v>
      </c>
      <c r="H99" t="s">
        <v>68</v>
      </c>
      <c r="I99" t="s">
        <v>65</v>
      </c>
      <c r="J99" t="s">
        <v>95</v>
      </c>
      <c r="K99">
        <v>9</v>
      </c>
      <c r="L99">
        <v>799</v>
      </c>
      <c r="M99">
        <v>7191</v>
      </c>
      <c r="N99">
        <v>30</v>
      </c>
      <c r="O99">
        <v>2157</v>
      </c>
      <c r="P99">
        <v>5034</v>
      </c>
      <c r="Q99">
        <v>2448</v>
      </c>
      <c r="R99">
        <v>2586</v>
      </c>
      <c r="S99">
        <v>2</v>
      </c>
      <c r="T99">
        <v>1119</v>
      </c>
      <c r="U99">
        <v>2.6</v>
      </c>
    </row>
    <row r="100" spans="1:21" x14ac:dyDescent="0.35">
      <c r="A100" t="s">
        <v>590</v>
      </c>
      <c r="B100" t="s">
        <v>39</v>
      </c>
      <c r="C100" s="32">
        <v>45274</v>
      </c>
      <c r="D100" t="s">
        <v>97</v>
      </c>
      <c r="E100" t="s">
        <v>52</v>
      </c>
      <c r="F100" t="s">
        <v>151</v>
      </c>
      <c r="G100" t="s">
        <v>51</v>
      </c>
      <c r="H100" t="s">
        <v>66</v>
      </c>
      <c r="I100" t="s">
        <v>65</v>
      </c>
      <c r="J100" t="s">
        <v>95</v>
      </c>
      <c r="K100">
        <v>3</v>
      </c>
      <c r="L100">
        <v>615</v>
      </c>
      <c r="M100">
        <v>1845</v>
      </c>
      <c r="N100">
        <v>25</v>
      </c>
      <c r="O100">
        <v>461</v>
      </c>
      <c r="P100">
        <v>1384</v>
      </c>
      <c r="Q100">
        <v>748</v>
      </c>
      <c r="R100">
        <v>636</v>
      </c>
      <c r="S100">
        <v>0</v>
      </c>
      <c r="T100">
        <v>0</v>
      </c>
      <c r="U100">
        <v>4</v>
      </c>
    </row>
    <row r="101" spans="1:21" x14ac:dyDescent="0.35">
      <c r="A101" t="s">
        <v>597</v>
      </c>
      <c r="B101" t="s">
        <v>39</v>
      </c>
      <c r="C101" s="32">
        <v>45278</v>
      </c>
      <c r="D101" t="s">
        <v>101</v>
      </c>
      <c r="E101" t="s">
        <v>58</v>
      </c>
      <c r="F101" t="s">
        <v>134</v>
      </c>
      <c r="G101" t="s">
        <v>49</v>
      </c>
      <c r="H101" t="s">
        <v>68</v>
      </c>
      <c r="I101" t="s">
        <v>65</v>
      </c>
      <c r="J101" t="s">
        <v>95</v>
      </c>
      <c r="K101">
        <v>2</v>
      </c>
      <c r="L101">
        <v>2746</v>
      </c>
      <c r="M101">
        <v>5492</v>
      </c>
      <c r="N101">
        <v>20</v>
      </c>
      <c r="O101">
        <v>1098</v>
      </c>
      <c r="P101">
        <v>4394</v>
      </c>
      <c r="Q101">
        <v>2002</v>
      </c>
      <c r="R101">
        <v>2392</v>
      </c>
      <c r="S101">
        <v>1</v>
      </c>
      <c r="T101">
        <v>2197</v>
      </c>
      <c r="U101">
        <v>4.0999999999999996</v>
      </c>
    </row>
    <row r="102" spans="1:21" x14ac:dyDescent="0.35">
      <c r="A102" t="s">
        <v>600</v>
      </c>
      <c r="B102" t="s">
        <v>39</v>
      </c>
      <c r="C102" s="32">
        <v>45280</v>
      </c>
      <c r="D102" t="s">
        <v>115</v>
      </c>
      <c r="E102" t="s">
        <v>52</v>
      </c>
      <c r="F102" t="s">
        <v>106</v>
      </c>
      <c r="G102" t="s">
        <v>51</v>
      </c>
      <c r="H102" t="s">
        <v>66</v>
      </c>
      <c r="I102" t="s">
        <v>65</v>
      </c>
      <c r="J102" t="s">
        <v>99</v>
      </c>
      <c r="K102">
        <v>12</v>
      </c>
      <c r="L102">
        <v>3070</v>
      </c>
      <c r="M102">
        <v>36840</v>
      </c>
      <c r="N102">
        <v>50</v>
      </c>
      <c r="O102">
        <v>18420</v>
      </c>
      <c r="P102">
        <v>18420</v>
      </c>
      <c r="Q102">
        <v>11037</v>
      </c>
      <c r="R102">
        <v>7383</v>
      </c>
      <c r="S102">
        <v>0</v>
      </c>
      <c r="T102">
        <v>0</v>
      </c>
      <c r="U102">
        <v>4.5999999999999996</v>
      </c>
    </row>
    <row r="103" spans="1:21" x14ac:dyDescent="0.35">
      <c r="A103" t="s">
        <v>601</v>
      </c>
      <c r="B103" t="s">
        <v>39</v>
      </c>
      <c r="C103" s="32">
        <v>45280</v>
      </c>
      <c r="D103" t="s">
        <v>131</v>
      </c>
      <c r="E103" t="s">
        <v>48</v>
      </c>
      <c r="F103" t="s">
        <v>111</v>
      </c>
      <c r="G103" t="s">
        <v>53</v>
      </c>
      <c r="H103" t="s">
        <v>64</v>
      </c>
      <c r="I103" t="s">
        <v>65</v>
      </c>
      <c r="J103" t="s">
        <v>95</v>
      </c>
      <c r="K103">
        <v>5</v>
      </c>
      <c r="L103">
        <v>2254</v>
      </c>
      <c r="M103">
        <v>11270</v>
      </c>
      <c r="N103">
        <v>5</v>
      </c>
      <c r="O103">
        <v>564</v>
      </c>
      <c r="P103">
        <v>10706</v>
      </c>
      <c r="Q103">
        <v>5128</v>
      </c>
      <c r="R103">
        <v>5578</v>
      </c>
      <c r="S103">
        <v>0</v>
      </c>
      <c r="T103">
        <v>0</v>
      </c>
      <c r="U103">
        <v>3.4</v>
      </c>
    </row>
    <row r="104" spans="1:21" x14ac:dyDescent="0.35">
      <c r="A104" t="s">
        <v>606</v>
      </c>
      <c r="B104" t="s">
        <v>39</v>
      </c>
      <c r="C104" s="32">
        <v>45283</v>
      </c>
      <c r="D104" t="s">
        <v>93</v>
      </c>
      <c r="E104" t="s">
        <v>50</v>
      </c>
      <c r="F104" t="s">
        <v>111</v>
      </c>
      <c r="G104" t="s">
        <v>51</v>
      </c>
      <c r="H104" t="s">
        <v>64</v>
      </c>
      <c r="I104" t="s">
        <v>65</v>
      </c>
      <c r="J104" t="s">
        <v>95</v>
      </c>
      <c r="K104">
        <v>5</v>
      </c>
      <c r="L104">
        <v>1246</v>
      </c>
      <c r="M104">
        <v>6230</v>
      </c>
      <c r="N104">
        <v>15</v>
      </c>
      <c r="O104">
        <v>934</v>
      </c>
      <c r="P104">
        <v>5296</v>
      </c>
      <c r="Q104">
        <v>3556</v>
      </c>
      <c r="R104">
        <v>1740</v>
      </c>
      <c r="S104">
        <v>1</v>
      </c>
      <c r="T104">
        <v>1059</v>
      </c>
      <c r="U104">
        <v>4.8</v>
      </c>
    </row>
    <row r="105" spans="1:21" x14ac:dyDescent="0.35">
      <c r="A105" t="s">
        <v>613</v>
      </c>
      <c r="B105" t="s">
        <v>39</v>
      </c>
      <c r="C105" s="32">
        <v>45290</v>
      </c>
      <c r="D105" t="s">
        <v>131</v>
      </c>
      <c r="E105" t="s">
        <v>59</v>
      </c>
      <c r="F105" t="s">
        <v>108</v>
      </c>
      <c r="G105" t="s">
        <v>55</v>
      </c>
      <c r="H105" t="s">
        <v>64</v>
      </c>
      <c r="I105" t="s">
        <v>65</v>
      </c>
      <c r="J105" t="s">
        <v>95</v>
      </c>
      <c r="K105">
        <v>6</v>
      </c>
      <c r="L105">
        <v>2423</v>
      </c>
      <c r="M105">
        <v>14538</v>
      </c>
      <c r="N105">
        <v>20</v>
      </c>
      <c r="O105">
        <v>2908</v>
      </c>
      <c r="P105">
        <v>11630</v>
      </c>
      <c r="Q105">
        <v>5862</v>
      </c>
      <c r="R105">
        <v>5768</v>
      </c>
      <c r="S105">
        <v>1</v>
      </c>
      <c r="T105">
        <v>1938</v>
      </c>
      <c r="U105">
        <v>2.9</v>
      </c>
    </row>
    <row r="106" spans="1:21" x14ac:dyDescent="0.35">
      <c r="A106" t="s">
        <v>100</v>
      </c>
      <c r="B106" t="s">
        <v>28</v>
      </c>
      <c r="C106" s="32">
        <v>44932</v>
      </c>
      <c r="D106" t="s">
        <v>101</v>
      </c>
      <c r="E106" t="s">
        <v>52</v>
      </c>
      <c r="F106" t="s">
        <v>102</v>
      </c>
      <c r="G106" t="s">
        <v>53</v>
      </c>
      <c r="H106" t="s">
        <v>64</v>
      </c>
      <c r="I106" t="s">
        <v>69</v>
      </c>
      <c r="J106" t="s">
        <v>103</v>
      </c>
      <c r="K106">
        <v>9</v>
      </c>
      <c r="L106">
        <v>2723</v>
      </c>
      <c r="M106">
        <v>24507</v>
      </c>
      <c r="N106">
        <v>15</v>
      </c>
      <c r="O106">
        <v>3676</v>
      </c>
      <c r="P106">
        <v>20831</v>
      </c>
      <c r="Q106">
        <v>12578</v>
      </c>
      <c r="R106">
        <v>8253</v>
      </c>
      <c r="S106">
        <v>2</v>
      </c>
      <c r="T106">
        <v>4629</v>
      </c>
      <c r="U106">
        <v>2.6</v>
      </c>
    </row>
    <row r="107" spans="1:21" x14ac:dyDescent="0.35">
      <c r="A107" t="s">
        <v>119</v>
      </c>
      <c r="B107" t="s">
        <v>28</v>
      </c>
      <c r="C107" s="32">
        <v>44938</v>
      </c>
      <c r="D107" t="s">
        <v>120</v>
      </c>
      <c r="E107" t="s">
        <v>52</v>
      </c>
      <c r="F107" t="s">
        <v>106</v>
      </c>
      <c r="G107" t="s">
        <v>53</v>
      </c>
      <c r="H107" t="s">
        <v>66</v>
      </c>
      <c r="I107" t="s">
        <v>69</v>
      </c>
      <c r="J107" t="s">
        <v>95</v>
      </c>
      <c r="K107">
        <v>3</v>
      </c>
      <c r="L107">
        <v>2165</v>
      </c>
      <c r="M107">
        <v>6495</v>
      </c>
      <c r="N107">
        <v>5</v>
      </c>
      <c r="O107">
        <v>325</v>
      </c>
      <c r="P107">
        <v>6170</v>
      </c>
      <c r="Q107">
        <v>2875</v>
      </c>
      <c r="R107">
        <v>3295</v>
      </c>
      <c r="S107">
        <v>1</v>
      </c>
      <c r="T107">
        <v>2057</v>
      </c>
      <c r="U107">
        <v>3.9</v>
      </c>
    </row>
    <row r="108" spans="1:21" x14ac:dyDescent="0.35">
      <c r="A108" t="s">
        <v>126</v>
      </c>
      <c r="B108" t="s">
        <v>28</v>
      </c>
      <c r="C108" s="32">
        <v>44941</v>
      </c>
      <c r="D108" t="s">
        <v>93</v>
      </c>
      <c r="E108" t="s">
        <v>58</v>
      </c>
      <c r="F108" t="s">
        <v>111</v>
      </c>
      <c r="G108" t="s">
        <v>55</v>
      </c>
      <c r="H108" t="s">
        <v>68</v>
      </c>
      <c r="I108" t="s">
        <v>69</v>
      </c>
      <c r="J108" t="s">
        <v>99</v>
      </c>
      <c r="K108">
        <v>8</v>
      </c>
      <c r="L108">
        <v>515</v>
      </c>
      <c r="M108">
        <v>4120</v>
      </c>
      <c r="N108">
        <v>20</v>
      </c>
      <c r="O108">
        <v>824</v>
      </c>
      <c r="P108">
        <v>3296</v>
      </c>
      <c r="Q108">
        <v>2023</v>
      </c>
      <c r="R108">
        <v>1273</v>
      </c>
      <c r="S108">
        <v>0</v>
      </c>
      <c r="T108">
        <v>0</v>
      </c>
      <c r="U108">
        <v>4.3</v>
      </c>
    </row>
    <row r="109" spans="1:21" x14ac:dyDescent="0.35">
      <c r="A109" t="s">
        <v>133</v>
      </c>
      <c r="B109" t="s">
        <v>28</v>
      </c>
      <c r="C109" s="32">
        <v>44946</v>
      </c>
      <c r="D109" t="s">
        <v>101</v>
      </c>
      <c r="E109" t="s">
        <v>56</v>
      </c>
      <c r="F109" t="s">
        <v>134</v>
      </c>
      <c r="G109" t="s">
        <v>55</v>
      </c>
      <c r="H109" t="s">
        <v>64</v>
      </c>
      <c r="I109" t="s">
        <v>69</v>
      </c>
      <c r="J109" t="s">
        <v>99</v>
      </c>
      <c r="K109">
        <v>6</v>
      </c>
      <c r="L109">
        <v>4434</v>
      </c>
      <c r="M109">
        <v>26604</v>
      </c>
      <c r="N109">
        <v>30</v>
      </c>
      <c r="O109">
        <v>7981</v>
      </c>
      <c r="P109">
        <v>18623</v>
      </c>
      <c r="Q109">
        <v>10320</v>
      </c>
      <c r="R109">
        <v>8303</v>
      </c>
      <c r="S109">
        <v>0</v>
      </c>
      <c r="T109">
        <v>0</v>
      </c>
      <c r="U109">
        <v>4.7</v>
      </c>
    </row>
    <row r="110" spans="1:21" x14ac:dyDescent="0.35">
      <c r="A110" t="s">
        <v>148</v>
      </c>
      <c r="B110" t="s">
        <v>29</v>
      </c>
      <c r="C110" s="32">
        <v>44962</v>
      </c>
      <c r="D110" t="s">
        <v>122</v>
      </c>
      <c r="E110" t="s">
        <v>48</v>
      </c>
      <c r="F110" t="s">
        <v>98</v>
      </c>
      <c r="G110" t="s">
        <v>51</v>
      </c>
      <c r="H110" t="s">
        <v>68</v>
      </c>
      <c r="I110" t="s">
        <v>69</v>
      </c>
      <c r="J110" t="s">
        <v>103</v>
      </c>
      <c r="K110">
        <v>4</v>
      </c>
      <c r="L110">
        <v>3020</v>
      </c>
      <c r="M110">
        <v>12080</v>
      </c>
      <c r="N110">
        <v>0</v>
      </c>
      <c r="O110">
        <v>0</v>
      </c>
      <c r="P110">
        <v>12080</v>
      </c>
      <c r="Q110">
        <v>7307</v>
      </c>
      <c r="R110">
        <v>4773</v>
      </c>
      <c r="S110">
        <v>1</v>
      </c>
      <c r="T110">
        <v>3020</v>
      </c>
      <c r="U110">
        <v>4.0999999999999996</v>
      </c>
    </row>
    <row r="111" spans="1:21" x14ac:dyDescent="0.35">
      <c r="A111" t="s">
        <v>167</v>
      </c>
      <c r="B111" t="s">
        <v>29</v>
      </c>
      <c r="C111" s="32">
        <v>44973</v>
      </c>
      <c r="D111" t="s">
        <v>101</v>
      </c>
      <c r="E111" t="s">
        <v>52</v>
      </c>
      <c r="F111" t="s">
        <v>111</v>
      </c>
      <c r="G111" t="s">
        <v>57</v>
      </c>
      <c r="H111" t="s">
        <v>66</v>
      </c>
      <c r="I111" t="s">
        <v>69</v>
      </c>
      <c r="J111" t="s">
        <v>95</v>
      </c>
      <c r="K111">
        <v>11</v>
      </c>
      <c r="L111">
        <v>1000</v>
      </c>
      <c r="M111">
        <v>11000</v>
      </c>
      <c r="N111">
        <v>50</v>
      </c>
      <c r="O111">
        <v>5500</v>
      </c>
      <c r="P111">
        <v>5500</v>
      </c>
      <c r="Q111">
        <v>2876</v>
      </c>
      <c r="R111">
        <v>2624</v>
      </c>
      <c r="S111">
        <v>2</v>
      </c>
      <c r="T111">
        <v>1000</v>
      </c>
      <c r="U111">
        <v>3.9</v>
      </c>
    </row>
    <row r="112" spans="1:21" x14ac:dyDescent="0.35">
      <c r="A112" t="s">
        <v>170</v>
      </c>
      <c r="B112" t="s">
        <v>29</v>
      </c>
      <c r="C112" s="32">
        <v>44974</v>
      </c>
      <c r="D112" t="s">
        <v>115</v>
      </c>
      <c r="E112" t="s">
        <v>48</v>
      </c>
      <c r="F112" t="s">
        <v>116</v>
      </c>
      <c r="G112" t="s">
        <v>57</v>
      </c>
      <c r="H112" t="s">
        <v>64</v>
      </c>
      <c r="I112" t="s">
        <v>69</v>
      </c>
      <c r="J112" t="s">
        <v>103</v>
      </c>
      <c r="K112">
        <v>6</v>
      </c>
      <c r="L112">
        <v>4026</v>
      </c>
      <c r="M112">
        <v>24156</v>
      </c>
      <c r="N112">
        <v>10</v>
      </c>
      <c r="O112">
        <v>2416</v>
      </c>
      <c r="P112">
        <v>21740</v>
      </c>
      <c r="Q112">
        <v>12437</v>
      </c>
      <c r="R112">
        <v>9303</v>
      </c>
      <c r="S112">
        <v>0</v>
      </c>
      <c r="T112">
        <v>0</v>
      </c>
      <c r="U112">
        <v>4</v>
      </c>
    </row>
    <row r="113" spans="1:21" x14ac:dyDescent="0.35">
      <c r="A113" t="s">
        <v>181</v>
      </c>
      <c r="B113" t="s">
        <v>29</v>
      </c>
      <c r="C113" s="32">
        <v>44980</v>
      </c>
      <c r="D113" t="s">
        <v>120</v>
      </c>
      <c r="E113" t="s">
        <v>52</v>
      </c>
      <c r="F113" t="s">
        <v>102</v>
      </c>
      <c r="G113" t="s">
        <v>55</v>
      </c>
      <c r="H113" t="s">
        <v>66</v>
      </c>
      <c r="I113" t="s">
        <v>69</v>
      </c>
      <c r="J113" t="s">
        <v>103</v>
      </c>
      <c r="K113">
        <v>11</v>
      </c>
      <c r="L113">
        <v>1022</v>
      </c>
      <c r="M113">
        <v>11242</v>
      </c>
      <c r="N113">
        <v>40</v>
      </c>
      <c r="O113">
        <v>4497</v>
      </c>
      <c r="P113">
        <v>6745</v>
      </c>
      <c r="Q113">
        <v>4244</v>
      </c>
      <c r="R113">
        <v>2501</v>
      </c>
      <c r="S113">
        <v>0</v>
      </c>
      <c r="T113">
        <v>0</v>
      </c>
      <c r="U113">
        <v>2.7</v>
      </c>
    </row>
    <row r="114" spans="1:21" x14ac:dyDescent="0.35">
      <c r="A114" t="s">
        <v>193</v>
      </c>
      <c r="B114" t="s">
        <v>30</v>
      </c>
      <c r="C114" s="32">
        <v>44988</v>
      </c>
      <c r="D114" t="s">
        <v>142</v>
      </c>
      <c r="E114" t="s">
        <v>58</v>
      </c>
      <c r="F114" t="s">
        <v>116</v>
      </c>
      <c r="G114" t="s">
        <v>51</v>
      </c>
      <c r="H114" t="s">
        <v>68</v>
      </c>
      <c r="I114" t="s">
        <v>69</v>
      </c>
      <c r="J114" t="s">
        <v>95</v>
      </c>
      <c r="K114">
        <v>7</v>
      </c>
      <c r="L114">
        <v>719</v>
      </c>
      <c r="M114">
        <v>5033</v>
      </c>
      <c r="N114">
        <v>5</v>
      </c>
      <c r="O114">
        <v>252</v>
      </c>
      <c r="P114">
        <v>4781</v>
      </c>
      <c r="Q114">
        <v>2275</v>
      </c>
      <c r="R114">
        <v>2506</v>
      </c>
      <c r="S114">
        <v>1</v>
      </c>
      <c r="T114">
        <v>683</v>
      </c>
      <c r="U114">
        <v>4.7</v>
      </c>
    </row>
    <row r="115" spans="1:21" x14ac:dyDescent="0.35">
      <c r="A115" t="s">
        <v>204</v>
      </c>
      <c r="B115" t="s">
        <v>30</v>
      </c>
      <c r="C115" s="32">
        <v>44998</v>
      </c>
      <c r="D115" t="s">
        <v>93</v>
      </c>
      <c r="E115" t="s">
        <v>59</v>
      </c>
      <c r="F115" t="s">
        <v>151</v>
      </c>
      <c r="G115" t="s">
        <v>53</v>
      </c>
      <c r="H115" t="s">
        <v>68</v>
      </c>
      <c r="I115" t="s">
        <v>69</v>
      </c>
      <c r="J115" t="s">
        <v>95</v>
      </c>
      <c r="K115">
        <v>4</v>
      </c>
      <c r="L115">
        <v>4469</v>
      </c>
      <c r="M115">
        <v>17876</v>
      </c>
      <c r="N115">
        <v>10</v>
      </c>
      <c r="O115">
        <v>1788</v>
      </c>
      <c r="P115">
        <v>16088</v>
      </c>
      <c r="Q115">
        <v>8803</v>
      </c>
      <c r="R115">
        <v>7285</v>
      </c>
      <c r="S115">
        <v>1</v>
      </c>
      <c r="T115">
        <v>4022</v>
      </c>
      <c r="U115">
        <v>4.2</v>
      </c>
    </row>
    <row r="116" spans="1:21" x14ac:dyDescent="0.35">
      <c r="A116" t="s">
        <v>207</v>
      </c>
      <c r="B116" t="s">
        <v>30</v>
      </c>
      <c r="C116" s="32">
        <v>45002</v>
      </c>
      <c r="D116" t="s">
        <v>93</v>
      </c>
      <c r="E116" t="s">
        <v>58</v>
      </c>
      <c r="F116" t="s">
        <v>108</v>
      </c>
      <c r="G116" t="s">
        <v>49</v>
      </c>
      <c r="H116" t="s">
        <v>68</v>
      </c>
      <c r="I116" t="s">
        <v>69</v>
      </c>
      <c r="J116" t="s">
        <v>99</v>
      </c>
      <c r="K116">
        <v>8</v>
      </c>
      <c r="L116">
        <v>2514</v>
      </c>
      <c r="M116">
        <v>20112</v>
      </c>
      <c r="N116">
        <v>25</v>
      </c>
      <c r="O116">
        <v>5028</v>
      </c>
      <c r="P116">
        <v>15084</v>
      </c>
      <c r="Q116">
        <v>7576</v>
      </c>
      <c r="R116">
        <v>7508</v>
      </c>
      <c r="S116">
        <v>2</v>
      </c>
      <c r="T116">
        <v>3771</v>
      </c>
      <c r="U116">
        <v>3</v>
      </c>
    </row>
    <row r="117" spans="1:21" x14ac:dyDescent="0.35">
      <c r="A117" t="s">
        <v>208</v>
      </c>
      <c r="B117" t="s">
        <v>30</v>
      </c>
      <c r="C117" s="32">
        <v>45004</v>
      </c>
      <c r="D117" t="s">
        <v>120</v>
      </c>
      <c r="E117" t="s">
        <v>59</v>
      </c>
      <c r="F117" t="s">
        <v>102</v>
      </c>
      <c r="G117" t="s">
        <v>49</v>
      </c>
      <c r="H117" t="s">
        <v>64</v>
      </c>
      <c r="I117" t="s">
        <v>69</v>
      </c>
      <c r="J117" t="s">
        <v>99</v>
      </c>
      <c r="K117">
        <v>5</v>
      </c>
      <c r="L117">
        <v>887</v>
      </c>
      <c r="M117">
        <v>4435</v>
      </c>
      <c r="N117">
        <v>40</v>
      </c>
      <c r="O117">
        <v>1774</v>
      </c>
      <c r="P117">
        <v>2661</v>
      </c>
      <c r="Q117">
        <v>1681</v>
      </c>
      <c r="R117">
        <v>980</v>
      </c>
      <c r="S117">
        <v>0</v>
      </c>
      <c r="T117">
        <v>0</v>
      </c>
      <c r="U117">
        <v>2.7</v>
      </c>
    </row>
    <row r="118" spans="1:21" x14ac:dyDescent="0.35">
      <c r="A118" t="s">
        <v>209</v>
      </c>
      <c r="B118" t="s">
        <v>30</v>
      </c>
      <c r="C118" s="32">
        <v>45005</v>
      </c>
      <c r="D118" t="s">
        <v>93</v>
      </c>
      <c r="E118" t="s">
        <v>56</v>
      </c>
      <c r="F118" t="s">
        <v>124</v>
      </c>
      <c r="G118" t="s">
        <v>49</v>
      </c>
      <c r="H118" t="s">
        <v>64</v>
      </c>
      <c r="I118" t="s">
        <v>69</v>
      </c>
      <c r="J118" t="s">
        <v>95</v>
      </c>
      <c r="K118">
        <v>7</v>
      </c>
      <c r="L118">
        <v>753</v>
      </c>
      <c r="M118">
        <v>5271</v>
      </c>
      <c r="N118">
        <v>25</v>
      </c>
      <c r="O118">
        <v>1318</v>
      </c>
      <c r="P118">
        <v>3953</v>
      </c>
      <c r="Q118">
        <v>2581</v>
      </c>
      <c r="R118">
        <v>1372</v>
      </c>
      <c r="S118">
        <v>0</v>
      </c>
      <c r="T118">
        <v>0</v>
      </c>
      <c r="U118">
        <v>4</v>
      </c>
    </row>
    <row r="119" spans="1:21" x14ac:dyDescent="0.35">
      <c r="A119" t="s">
        <v>214</v>
      </c>
      <c r="B119" t="s">
        <v>30</v>
      </c>
      <c r="C119" s="32">
        <v>45008</v>
      </c>
      <c r="D119" t="s">
        <v>122</v>
      </c>
      <c r="E119" t="s">
        <v>50</v>
      </c>
      <c r="F119" t="s">
        <v>102</v>
      </c>
      <c r="G119" t="s">
        <v>57</v>
      </c>
      <c r="H119" t="s">
        <v>68</v>
      </c>
      <c r="I119" t="s">
        <v>69</v>
      </c>
      <c r="J119" t="s">
        <v>99</v>
      </c>
      <c r="K119">
        <v>4</v>
      </c>
      <c r="L119">
        <v>4451</v>
      </c>
      <c r="M119">
        <v>17804</v>
      </c>
      <c r="N119">
        <v>25</v>
      </c>
      <c r="O119">
        <v>4451</v>
      </c>
      <c r="P119">
        <v>13353</v>
      </c>
      <c r="Q119">
        <v>7114</v>
      </c>
      <c r="R119">
        <v>6239</v>
      </c>
      <c r="S119">
        <v>1</v>
      </c>
      <c r="T119">
        <v>3338</v>
      </c>
      <c r="U119">
        <v>3</v>
      </c>
    </row>
    <row r="120" spans="1:21" x14ac:dyDescent="0.35">
      <c r="A120" t="s">
        <v>217</v>
      </c>
      <c r="B120" t="s">
        <v>30</v>
      </c>
      <c r="C120" s="32">
        <v>45012</v>
      </c>
      <c r="D120" t="s">
        <v>122</v>
      </c>
      <c r="E120" t="s">
        <v>54</v>
      </c>
      <c r="F120" t="s">
        <v>111</v>
      </c>
      <c r="G120" t="s">
        <v>53</v>
      </c>
      <c r="H120" t="s">
        <v>66</v>
      </c>
      <c r="I120" t="s">
        <v>69</v>
      </c>
      <c r="J120" t="s">
        <v>95</v>
      </c>
      <c r="K120">
        <v>6</v>
      </c>
      <c r="L120">
        <v>4092</v>
      </c>
      <c r="M120">
        <v>24552</v>
      </c>
      <c r="N120">
        <v>20</v>
      </c>
      <c r="O120">
        <v>4910</v>
      </c>
      <c r="P120">
        <v>19642</v>
      </c>
      <c r="Q120">
        <v>11411</v>
      </c>
      <c r="R120">
        <v>8231</v>
      </c>
      <c r="S120">
        <v>1</v>
      </c>
      <c r="T120">
        <v>3274</v>
      </c>
      <c r="U120">
        <v>4.3</v>
      </c>
    </row>
    <row r="121" spans="1:21" x14ac:dyDescent="0.35">
      <c r="A121" t="s">
        <v>221</v>
      </c>
      <c r="B121" t="s">
        <v>30</v>
      </c>
      <c r="C121" s="32">
        <v>45016</v>
      </c>
      <c r="D121" t="s">
        <v>122</v>
      </c>
      <c r="E121" t="s">
        <v>50</v>
      </c>
      <c r="F121" t="s">
        <v>102</v>
      </c>
      <c r="G121" t="s">
        <v>49</v>
      </c>
      <c r="H121" t="s">
        <v>66</v>
      </c>
      <c r="I121" t="s">
        <v>69</v>
      </c>
      <c r="J121" t="s">
        <v>103</v>
      </c>
      <c r="K121">
        <v>5</v>
      </c>
      <c r="L121">
        <v>1897</v>
      </c>
      <c r="M121">
        <v>9485</v>
      </c>
      <c r="N121">
        <v>5</v>
      </c>
      <c r="O121">
        <v>474</v>
      </c>
      <c r="P121">
        <v>9011</v>
      </c>
      <c r="Q121">
        <v>5864</v>
      </c>
      <c r="R121">
        <v>3147</v>
      </c>
      <c r="S121">
        <v>1</v>
      </c>
      <c r="T121">
        <v>1802</v>
      </c>
      <c r="U121">
        <v>4.7</v>
      </c>
    </row>
    <row r="122" spans="1:21" x14ac:dyDescent="0.35">
      <c r="A122" t="s">
        <v>244</v>
      </c>
      <c r="B122" t="s">
        <v>31</v>
      </c>
      <c r="C122" s="32">
        <v>45033</v>
      </c>
      <c r="D122" t="s">
        <v>122</v>
      </c>
      <c r="E122" t="s">
        <v>56</v>
      </c>
      <c r="F122" t="s">
        <v>106</v>
      </c>
      <c r="G122" t="s">
        <v>53</v>
      </c>
      <c r="H122" t="s">
        <v>66</v>
      </c>
      <c r="I122" t="s">
        <v>69</v>
      </c>
      <c r="J122" t="s">
        <v>95</v>
      </c>
      <c r="K122">
        <v>4</v>
      </c>
      <c r="L122">
        <v>1116</v>
      </c>
      <c r="M122">
        <v>4464</v>
      </c>
      <c r="N122">
        <v>5</v>
      </c>
      <c r="O122">
        <v>223</v>
      </c>
      <c r="P122">
        <v>4241</v>
      </c>
      <c r="Q122">
        <v>2074</v>
      </c>
      <c r="R122">
        <v>2167</v>
      </c>
      <c r="S122">
        <v>1</v>
      </c>
      <c r="T122">
        <v>1060</v>
      </c>
      <c r="U122">
        <v>3.6</v>
      </c>
    </row>
    <row r="123" spans="1:21" x14ac:dyDescent="0.35">
      <c r="A123" t="s">
        <v>246</v>
      </c>
      <c r="B123" t="s">
        <v>31</v>
      </c>
      <c r="C123" s="32">
        <v>45033</v>
      </c>
      <c r="D123" t="s">
        <v>115</v>
      </c>
      <c r="E123" t="s">
        <v>58</v>
      </c>
      <c r="F123" t="s">
        <v>134</v>
      </c>
      <c r="G123" t="s">
        <v>55</v>
      </c>
      <c r="H123" t="s">
        <v>68</v>
      </c>
      <c r="I123" t="s">
        <v>69</v>
      </c>
      <c r="J123" t="s">
        <v>99</v>
      </c>
      <c r="K123">
        <v>6</v>
      </c>
      <c r="L123">
        <v>2933</v>
      </c>
      <c r="M123">
        <v>17598</v>
      </c>
      <c r="N123">
        <v>15</v>
      </c>
      <c r="O123">
        <v>2640</v>
      </c>
      <c r="P123">
        <v>14958</v>
      </c>
      <c r="Q123">
        <v>6773</v>
      </c>
      <c r="R123">
        <v>8185</v>
      </c>
      <c r="S123">
        <v>0</v>
      </c>
      <c r="T123">
        <v>0</v>
      </c>
      <c r="U123">
        <v>4.2</v>
      </c>
    </row>
    <row r="124" spans="1:21" x14ac:dyDescent="0.35">
      <c r="A124" t="s">
        <v>258</v>
      </c>
      <c r="B124" t="s">
        <v>31</v>
      </c>
      <c r="C124" s="32">
        <v>45042</v>
      </c>
      <c r="D124" t="s">
        <v>113</v>
      </c>
      <c r="E124" t="s">
        <v>56</v>
      </c>
      <c r="F124" t="s">
        <v>111</v>
      </c>
      <c r="G124" t="s">
        <v>53</v>
      </c>
      <c r="H124" t="s">
        <v>64</v>
      </c>
      <c r="I124" t="s">
        <v>69</v>
      </c>
      <c r="J124" t="s">
        <v>95</v>
      </c>
      <c r="K124">
        <v>3</v>
      </c>
      <c r="L124">
        <v>4024</v>
      </c>
      <c r="M124">
        <v>12072</v>
      </c>
      <c r="N124">
        <v>20</v>
      </c>
      <c r="O124">
        <v>2414</v>
      </c>
      <c r="P124">
        <v>9658</v>
      </c>
      <c r="Q124">
        <v>5406</v>
      </c>
      <c r="R124">
        <v>4252</v>
      </c>
      <c r="S124">
        <v>1</v>
      </c>
      <c r="T124">
        <v>3219</v>
      </c>
      <c r="U124">
        <v>4.2</v>
      </c>
    </row>
    <row r="125" spans="1:21" x14ac:dyDescent="0.35">
      <c r="A125" t="s">
        <v>263</v>
      </c>
      <c r="B125" t="s">
        <v>31</v>
      </c>
      <c r="C125" s="32">
        <v>45045</v>
      </c>
      <c r="D125" t="s">
        <v>131</v>
      </c>
      <c r="E125" t="s">
        <v>48</v>
      </c>
      <c r="F125" t="s">
        <v>106</v>
      </c>
      <c r="G125" t="s">
        <v>51</v>
      </c>
      <c r="H125" t="s">
        <v>66</v>
      </c>
      <c r="I125" t="s">
        <v>69</v>
      </c>
      <c r="J125" t="s">
        <v>99</v>
      </c>
      <c r="K125">
        <v>2</v>
      </c>
      <c r="L125">
        <v>3533</v>
      </c>
      <c r="M125">
        <v>7066</v>
      </c>
      <c r="N125">
        <v>40</v>
      </c>
      <c r="O125">
        <v>2826</v>
      </c>
      <c r="P125">
        <v>4240</v>
      </c>
      <c r="Q125">
        <v>2050</v>
      </c>
      <c r="R125">
        <v>2190</v>
      </c>
      <c r="S125">
        <v>1</v>
      </c>
      <c r="T125">
        <v>2120</v>
      </c>
      <c r="U125">
        <v>4.3</v>
      </c>
    </row>
    <row r="126" spans="1:21" x14ac:dyDescent="0.35">
      <c r="A126" t="s">
        <v>268</v>
      </c>
      <c r="B126" t="s">
        <v>32</v>
      </c>
      <c r="C126" s="32">
        <v>45048</v>
      </c>
      <c r="D126" t="s">
        <v>105</v>
      </c>
      <c r="E126" t="s">
        <v>58</v>
      </c>
      <c r="F126" t="s">
        <v>111</v>
      </c>
      <c r="G126" t="s">
        <v>51</v>
      </c>
      <c r="H126" t="s">
        <v>68</v>
      </c>
      <c r="I126" t="s">
        <v>69</v>
      </c>
      <c r="J126" t="s">
        <v>95</v>
      </c>
      <c r="K126">
        <v>12</v>
      </c>
      <c r="L126">
        <v>4644</v>
      </c>
      <c r="M126">
        <v>55728</v>
      </c>
      <c r="N126">
        <v>30</v>
      </c>
      <c r="O126">
        <v>16718</v>
      </c>
      <c r="P126">
        <v>39010</v>
      </c>
      <c r="Q126">
        <v>25378</v>
      </c>
      <c r="R126">
        <v>13632</v>
      </c>
      <c r="S126">
        <v>1</v>
      </c>
      <c r="T126">
        <v>3251</v>
      </c>
      <c r="U126">
        <v>3.2</v>
      </c>
    </row>
    <row r="127" spans="1:21" x14ac:dyDescent="0.35">
      <c r="A127" t="s">
        <v>277</v>
      </c>
      <c r="B127" t="s">
        <v>32</v>
      </c>
      <c r="C127" s="32">
        <v>45054</v>
      </c>
      <c r="D127" t="s">
        <v>105</v>
      </c>
      <c r="E127" t="s">
        <v>59</v>
      </c>
      <c r="F127" t="s">
        <v>124</v>
      </c>
      <c r="G127" t="s">
        <v>49</v>
      </c>
      <c r="H127" t="s">
        <v>64</v>
      </c>
      <c r="I127" t="s">
        <v>69</v>
      </c>
      <c r="J127" t="s">
        <v>95</v>
      </c>
      <c r="K127">
        <v>1</v>
      </c>
      <c r="L127">
        <v>4202</v>
      </c>
      <c r="M127">
        <v>4202</v>
      </c>
      <c r="N127">
        <v>15</v>
      </c>
      <c r="O127">
        <v>630</v>
      </c>
      <c r="P127">
        <v>3572</v>
      </c>
      <c r="Q127">
        <v>1724</v>
      </c>
      <c r="R127">
        <v>1848</v>
      </c>
      <c r="S127">
        <v>1</v>
      </c>
      <c r="T127">
        <v>3572</v>
      </c>
      <c r="U127">
        <v>3.4</v>
      </c>
    </row>
    <row r="128" spans="1:21" x14ac:dyDescent="0.35">
      <c r="A128" t="s">
        <v>280</v>
      </c>
      <c r="B128" t="s">
        <v>32</v>
      </c>
      <c r="C128" s="32">
        <v>45055</v>
      </c>
      <c r="D128" t="s">
        <v>131</v>
      </c>
      <c r="E128" t="s">
        <v>48</v>
      </c>
      <c r="F128" t="s">
        <v>134</v>
      </c>
      <c r="G128" t="s">
        <v>49</v>
      </c>
      <c r="H128" t="s">
        <v>68</v>
      </c>
      <c r="I128" t="s">
        <v>69</v>
      </c>
      <c r="J128" t="s">
        <v>103</v>
      </c>
      <c r="K128">
        <v>3</v>
      </c>
      <c r="L128">
        <v>581</v>
      </c>
      <c r="M128">
        <v>1743</v>
      </c>
      <c r="N128">
        <v>20</v>
      </c>
      <c r="O128">
        <v>349</v>
      </c>
      <c r="P128">
        <v>1394</v>
      </c>
      <c r="Q128">
        <v>793</v>
      </c>
      <c r="R128">
        <v>601</v>
      </c>
      <c r="S128">
        <v>0</v>
      </c>
      <c r="T128">
        <v>0</v>
      </c>
      <c r="U128">
        <v>3.6</v>
      </c>
    </row>
    <row r="129" spans="1:21" x14ac:dyDescent="0.35">
      <c r="A129" t="s">
        <v>290</v>
      </c>
      <c r="B129" t="s">
        <v>32</v>
      </c>
      <c r="C129" s="32">
        <v>45062</v>
      </c>
      <c r="D129" t="s">
        <v>101</v>
      </c>
      <c r="E129" t="s">
        <v>58</v>
      </c>
      <c r="F129" t="s">
        <v>151</v>
      </c>
      <c r="G129" t="s">
        <v>55</v>
      </c>
      <c r="H129" t="s">
        <v>66</v>
      </c>
      <c r="I129" t="s">
        <v>69</v>
      </c>
      <c r="J129" t="s">
        <v>99</v>
      </c>
      <c r="K129">
        <v>2</v>
      </c>
      <c r="L129">
        <v>2894</v>
      </c>
      <c r="M129">
        <v>5788</v>
      </c>
      <c r="N129">
        <v>25</v>
      </c>
      <c r="O129">
        <v>1447</v>
      </c>
      <c r="P129">
        <v>4341</v>
      </c>
      <c r="Q129">
        <v>2580</v>
      </c>
      <c r="R129">
        <v>1761</v>
      </c>
      <c r="S129">
        <v>0</v>
      </c>
      <c r="T129">
        <v>0</v>
      </c>
      <c r="U129">
        <v>2.6</v>
      </c>
    </row>
    <row r="130" spans="1:21" x14ac:dyDescent="0.35">
      <c r="A130" t="s">
        <v>293</v>
      </c>
      <c r="B130" t="s">
        <v>32</v>
      </c>
      <c r="C130" s="32">
        <v>45063</v>
      </c>
      <c r="D130" t="s">
        <v>105</v>
      </c>
      <c r="E130" t="s">
        <v>52</v>
      </c>
      <c r="F130" t="s">
        <v>94</v>
      </c>
      <c r="G130" t="s">
        <v>55</v>
      </c>
      <c r="H130" t="s">
        <v>66</v>
      </c>
      <c r="I130" t="s">
        <v>69</v>
      </c>
      <c r="J130" t="s">
        <v>103</v>
      </c>
      <c r="K130">
        <v>12</v>
      </c>
      <c r="L130">
        <v>4717</v>
      </c>
      <c r="M130">
        <v>56604</v>
      </c>
      <c r="N130">
        <v>40</v>
      </c>
      <c r="O130">
        <v>22642</v>
      </c>
      <c r="P130">
        <v>33962</v>
      </c>
      <c r="Q130">
        <v>19343</v>
      </c>
      <c r="R130">
        <v>14619</v>
      </c>
      <c r="S130">
        <v>3</v>
      </c>
      <c r="T130">
        <v>8491</v>
      </c>
      <c r="U130">
        <v>4.5999999999999996</v>
      </c>
    </row>
    <row r="131" spans="1:21" x14ac:dyDescent="0.35">
      <c r="A131" t="s">
        <v>295</v>
      </c>
      <c r="B131" t="s">
        <v>32</v>
      </c>
      <c r="C131" s="32">
        <v>45066</v>
      </c>
      <c r="D131" t="s">
        <v>122</v>
      </c>
      <c r="E131" t="s">
        <v>48</v>
      </c>
      <c r="F131" t="s">
        <v>102</v>
      </c>
      <c r="G131" t="s">
        <v>55</v>
      </c>
      <c r="H131" t="s">
        <v>68</v>
      </c>
      <c r="I131" t="s">
        <v>69</v>
      </c>
      <c r="J131" t="s">
        <v>103</v>
      </c>
      <c r="K131">
        <v>1</v>
      </c>
      <c r="L131">
        <v>4479</v>
      </c>
      <c r="M131">
        <v>4479</v>
      </c>
      <c r="N131">
        <v>25</v>
      </c>
      <c r="O131">
        <v>1120</v>
      </c>
      <c r="P131">
        <v>3359</v>
      </c>
      <c r="Q131">
        <v>2019</v>
      </c>
      <c r="R131">
        <v>1340</v>
      </c>
      <c r="S131">
        <v>0</v>
      </c>
      <c r="T131">
        <v>0</v>
      </c>
      <c r="U131">
        <v>2.7</v>
      </c>
    </row>
    <row r="132" spans="1:21" x14ac:dyDescent="0.35">
      <c r="A132" t="s">
        <v>303</v>
      </c>
      <c r="B132" t="s">
        <v>32</v>
      </c>
      <c r="C132" s="32">
        <v>45070</v>
      </c>
      <c r="D132" t="s">
        <v>142</v>
      </c>
      <c r="E132" t="s">
        <v>50</v>
      </c>
      <c r="F132" t="s">
        <v>106</v>
      </c>
      <c r="G132" t="s">
        <v>57</v>
      </c>
      <c r="H132" t="s">
        <v>64</v>
      </c>
      <c r="I132" t="s">
        <v>69</v>
      </c>
      <c r="J132" t="s">
        <v>103</v>
      </c>
      <c r="K132">
        <v>13</v>
      </c>
      <c r="L132">
        <v>2288</v>
      </c>
      <c r="M132">
        <v>29744</v>
      </c>
      <c r="N132">
        <v>50</v>
      </c>
      <c r="O132">
        <v>14872</v>
      </c>
      <c r="P132">
        <v>14872</v>
      </c>
      <c r="Q132">
        <v>6813</v>
      </c>
      <c r="R132">
        <v>8059</v>
      </c>
      <c r="S132">
        <v>2</v>
      </c>
      <c r="T132">
        <v>2288</v>
      </c>
      <c r="U132">
        <v>3.5</v>
      </c>
    </row>
    <row r="133" spans="1:21" x14ac:dyDescent="0.35">
      <c r="A133" t="s">
        <v>314</v>
      </c>
      <c r="B133" t="s">
        <v>32</v>
      </c>
      <c r="C133" s="32">
        <v>45077</v>
      </c>
      <c r="D133" t="s">
        <v>122</v>
      </c>
      <c r="E133" t="s">
        <v>59</v>
      </c>
      <c r="F133" t="s">
        <v>94</v>
      </c>
      <c r="G133" t="s">
        <v>53</v>
      </c>
      <c r="H133" t="s">
        <v>64</v>
      </c>
      <c r="I133" t="s">
        <v>69</v>
      </c>
      <c r="J133" t="s">
        <v>99</v>
      </c>
      <c r="K133">
        <v>3</v>
      </c>
      <c r="L133">
        <v>4472</v>
      </c>
      <c r="M133">
        <v>13416</v>
      </c>
      <c r="N133">
        <v>10</v>
      </c>
      <c r="O133">
        <v>1342</v>
      </c>
      <c r="P133">
        <v>12074</v>
      </c>
      <c r="Q133">
        <v>7643</v>
      </c>
      <c r="R133">
        <v>4431</v>
      </c>
      <c r="S133">
        <v>0</v>
      </c>
      <c r="T133">
        <v>0</v>
      </c>
      <c r="U133">
        <v>3.3</v>
      </c>
    </row>
    <row r="134" spans="1:21" x14ac:dyDescent="0.35">
      <c r="A134" t="s">
        <v>325</v>
      </c>
      <c r="B134" t="s">
        <v>33</v>
      </c>
      <c r="C134" s="32">
        <v>45087</v>
      </c>
      <c r="D134" t="s">
        <v>120</v>
      </c>
      <c r="E134" t="s">
        <v>48</v>
      </c>
      <c r="F134" t="s">
        <v>151</v>
      </c>
      <c r="G134" t="s">
        <v>49</v>
      </c>
      <c r="H134" t="s">
        <v>64</v>
      </c>
      <c r="I134" t="s">
        <v>69</v>
      </c>
      <c r="J134" t="s">
        <v>99</v>
      </c>
      <c r="K134">
        <v>2</v>
      </c>
      <c r="L134">
        <v>2768</v>
      </c>
      <c r="M134">
        <v>5536</v>
      </c>
      <c r="N134">
        <v>40</v>
      </c>
      <c r="O134">
        <v>2214</v>
      </c>
      <c r="P134">
        <v>3322</v>
      </c>
      <c r="Q134">
        <v>1787</v>
      </c>
      <c r="R134">
        <v>1535</v>
      </c>
      <c r="S134">
        <v>1</v>
      </c>
      <c r="T134">
        <v>1661</v>
      </c>
      <c r="U134">
        <v>3.1</v>
      </c>
    </row>
    <row r="135" spans="1:21" x14ac:dyDescent="0.35">
      <c r="A135" t="s">
        <v>332</v>
      </c>
      <c r="B135" t="s">
        <v>33</v>
      </c>
      <c r="C135" s="32">
        <v>45096</v>
      </c>
      <c r="D135" t="s">
        <v>105</v>
      </c>
      <c r="E135" t="s">
        <v>52</v>
      </c>
      <c r="F135" t="s">
        <v>151</v>
      </c>
      <c r="G135" t="s">
        <v>49</v>
      </c>
      <c r="H135" t="s">
        <v>66</v>
      </c>
      <c r="I135" t="s">
        <v>69</v>
      </c>
      <c r="J135" t="s">
        <v>95</v>
      </c>
      <c r="K135">
        <v>14</v>
      </c>
      <c r="L135">
        <v>2998</v>
      </c>
      <c r="M135">
        <v>41972</v>
      </c>
      <c r="N135">
        <v>40</v>
      </c>
      <c r="O135">
        <v>16789</v>
      </c>
      <c r="P135">
        <v>25183</v>
      </c>
      <c r="Q135">
        <v>12271</v>
      </c>
      <c r="R135">
        <v>12912</v>
      </c>
      <c r="S135">
        <v>0</v>
      </c>
      <c r="T135">
        <v>0</v>
      </c>
      <c r="U135">
        <v>4.4000000000000004</v>
      </c>
    </row>
    <row r="136" spans="1:21" x14ac:dyDescent="0.35">
      <c r="A136" t="s">
        <v>333</v>
      </c>
      <c r="B136" t="s">
        <v>33</v>
      </c>
      <c r="C136" s="32">
        <v>45096</v>
      </c>
      <c r="D136" t="s">
        <v>113</v>
      </c>
      <c r="E136" t="s">
        <v>58</v>
      </c>
      <c r="F136" t="s">
        <v>94</v>
      </c>
      <c r="G136" t="s">
        <v>55</v>
      </c>
      <c r="H136" t="s">
        <v>68</v>
      </c>
      <c r="I136" t="s">
        <v>69</v>
      </c>
      <c r="J136" t="s">
        <v>103</v>
      </c>
      <c r="K136">
        <v>3</v>
      </c>
      <c r="L136">
        <v>2562</v>
      </c>
      <c r="M136">
        <v>7686</v>
      </c>
      <c r="N136">
        <v>40</v>
      </c>
      <c r="O136">
        <v>3074</v>
      </c>
      <c r="P136">
        <v>4612</v>
      </c>
      <c r="Q136">
        <v>3104</v>
      </c>
      <c r="R136">
        <v>1508</v>
      </c>
      <c r="S136">
        <v>1</v>
      </c>
      <c r="T136">
        <v>1537</v>
      </c>
      <c r="U136">
        <v>3.7</v>
      </c>
    </row>
    <row r="137" spans="1:21" x14ac:dyDescent="0.35">
      <c r="A137" t="s">
        <v>343</v>
      </c>
      <c r="B137" t="s">
        <v>33</v>
      </c>
      <c r="C137" s="32">
        <v>45103</v>
      </c>
      <c r="D137" t="s">
        <v>93</v>
      </c>
      <c r="E137" t="s">
        <v>58</v>
      </c>
      <c r="F137" t="s">
        <v>116</v>
      </c>
      <c r="G137" t="s">
        <v>51</v>
      </c>
      <c r="H137" t="s">
        <v>66</v>
      </c>
      <c r="I137" t="s">
        <v>69</v>
      </c>
      <c r="J137" t="s">
        <v>103</v>
      </c>
      <c r="K137">
        <v>4</v>
      </c>
      <c r="L137">
        <v>2398</v>
      </c>
      <c r="M137">
        <v>9592</v>
      </c>
      <c r="N137">
        <v>10</v>
      </c>
      <c r="O137">
        <v>959</v>
      </c>
      <c r="P137">
        <v>8633</v>
      </c>
      <c r="Q137">
        <v>4101</v>
      </c>
      <c r="R137">
        <v>4532</v>
      </c>
      <c r="S137">
        <v>1</v>
      </c>
      <c r="T137">
        <v>2158</v>
      </c>
      <c r="U137">
        <v>4.5</v>
      </c>
    </row>
    <row r="138" spans="1:21" x14ac:dyDescent="0.35">
      <c r="A138" t="s">
        <v>353</v>
      </c>
      <c r="B138" t="s">
        <v>34</v>
      </c>
      <c r="C138" s="32">
        <v>45115</v>
      </c>
      <c r="D138" t="s">
        <v>101</v>
      </c>
      <c r="E138" t="s">
        <v>52</v>
      </c>
      <c r="F138" t="s">
        <v>134</v>
      </c>
      <c r="G138" t="s">
        <v>57</v>
      </c>
      <c r="H138" t="s">
        <v>66</v>
      </c>
      <c r="I138" t="s">
        <v>69</v>
      </c>
      <c r="J138" t="s">
        <v>95</v>
      </c>
      <c r="K138">
        <v>5</v>
      </c>
      <c r="L138">
        <v>807</v>
      </c>
      <c r="M138">
        <v>4035</v>
      </c>
      <c r="N138">
        <v>0</v>
      </c>
      <c r="O138">
        <v>0</v>
      </c>
      <c r="P138">
        <v>4035</v>
      </c>
      <c r="Q138">
        <v>2753</v>
      </c>
      <c r="R138">
        <v>1282</v>
      </c>
      <c r="S138">
        <v>1</v>
      </c>
      <c r="T138">
        <v>807</v>
      </c>
      <c r="U138">
        <v>3.5</v>
      </c>
    </row>
    <row r="139" spans="1:21" x14ac:dyDescent="0.35">
      <c r="A139" t="s">
        <v>365</v>
      </c>
      <c r="B139" t="s">
        <v>34</v>
      </c>
      <c r="C139" s="32">
        <v>45123</v>
      </c>
      <c r="D139" t="s">
        <v>120</v>
      </c>
      <c r="E139" t="s">
        <v>50</v>
      </c>
      <c r="F139" t="s">
        <v>134</v>
      </c>
      <c r="G139" t="s">
        <v>57</v>
      </c>
      <c r="H139" t="s">
        <v>66</v>
      </c>
      <c r="I139" t="s">
        <v>69</v>
      </c>
      <c r="J139" t="s">
        <v>99</v>
      </c>
      <c r="K139">
        <v>15</v>
      </c>
      <c r="L139">
        <v>4105</v>
      </c>
      <c r="M139">
        <v>61575</v>
      </c>
      <c r="N139">
        <v>15</v>
      </c>
      <c r="O139">
        <v>9236</v>
      </c>
      <c r="P139">
        <v>52339</v>
      </c>
      <c r="Q139">
        <v>27760</v>
      </c>
      <c r="R139">
        <v>24579</v>
      </c>
      <c r="S139">
        <v>3</v>
      </c>
      <c r="T139">
        <v>10468</v>
      </c>
      <c r="U139">
        <v>3.8</v>
      </c>
    </row>
    <row r="140" spans="1:21" x14ac:dyDescent="0.35">
      <c r="A140" t="s">
        <v>376</v>
      </c>
      <c r="B140" t="s">
        <v>34</v>
      </c>
      <c r="C140" s="32">
        <v>45130</v>
      </c>
      <c r="D140" t="s">
        <v>131</v>
      </c>
      <c r="E140" t="s">
        <v>58</v>
      </c>
      <c r="F140" t="s">
        <v>102</v>
      </c>
      <c r="G140" t="s">
        <v>55</v>
      </c>
      <c r="H140" t="s">
        <v>68</v>
      </c>
      <c r="I140" t="s">
        <v>69</v>
      </c>
      <c r="J140" t="s">
        <v>103</v>
      </c>
      <c r="K140">
        <v>4</v>
      </c>
      <c r="L140">
        <v>1644</v>
      </c>
      <c r="M140">
        <v>6576</v>
      </c>
      <c r="N140">
        <v>0</v>
      </c>
      <c r="O140">
        <v>0</v>
      </c>
      <c r="P140">
        <v>6576</v>
      </c>
      <c r="Q140">
        <v>4383</v>
      </c>
      <c r="R140">
        <v>2193</v>
      </c>
      <c r="S140">
        <v>1</v>
      </c>
      <c r="T140">
        <v>1644</v>
      </c>
      <c r="U140">
        <v>3.2</v>
      </c>
    </row>
    <row r="141" spans="1:21" x14ac:dyDescent="0.35">
      <c r="A141" t="s">
        <v>379</v>
      </c>
      <c r="B141" t="s">
        <v>34</v>
      </c>
      <c r="C141" s="32">
        <v>45132</v>
      </c>
      <c r="D141" t="s">
        <v>113</v>
      </c>
      <c r="E141" t="s">
        <v>50</v>
      </c>
      <c r="F141" t="s">
        <v>98</v>
      </c>
      <c r="G141" t="s">
        <v>57</v>
      </c>
      <c r="H141" t="s">
        <v>66</v>
      </c>
      <c r="I141" t="s">
        <v>69</v>
      </c>
      <c r="J141" t="s">
        <v>95</v>
      </c>
      <c r="K141">
        <v>3</v>
      </c>
      <c r="L141">
        <v>4111</v>
      </c>
      <c r="M141">
        <v>12333</v>
      </c>
      <c r="N141">
        <v>20</v>
      </c>
      <c r="O141">
        <v>2467</v>
      </c>
      <c r="P141">
        <v>9866</v>
      </c>
      <c r="Q141">
        <v>4650</v>
      </c>
      <c r="R141">
        <v>5216</v>
      </c>
      <c r="S141">
        <v>0</v>
      </c>
      <c r="T141">
        <v>0</v>
      </c>
      <c r="U141">
        <v>2.8</v>
      </c>
    </row>
    <row r="142" spans="1:21" x14ac:dyDescent="0.35">
      <c r="A142" t="s">
        <v>387</v>
      </c>
      <c r="B142" t="s">
        <v>34</v>
      </c>
      <c r="C142" s="32">
        <v>45137</v>
      </c>
      <c r="D142" t="s">
        <v>142</v>
      </c>
      <c r="E142" t="s">
        <v>48</v>
      </c>
      <c r="F142" t="s">
        <v>124</v>
      </c>
      <c r="G142" t="s">
        <v>51</v>
      </c>
      <c r="H142" t="s">
        <v>64</v>
      </c>
      <c r="I142" t="s">
        <v>69</v>
      </c>
      <c r="J142" t="s">
        <v>95</v>
      </c>
      <c r="K142">
        <v>13</v>
      </c>
      <c r="L142">
        <v>878</v>
      </c>
      <c r="M142">
        <v>11414</v>
      </c>
      <c r="N142">
        <v>30</v>
      </c>
      <c r="O142">
        <v>3424</v>
      </c>
      <c r="P142">
        <v>7990</v>
      </c>
      <c r="Q142">
        <v>4298</v>
      </c>
      <c r="R142">
        <v>3692</v>
      </c>
      <c r="S142">
        <v>3</v>
      </c>
      <c r="T142">
        <v>1844</v>
      </c>
      <c r="U142">
        <v>3.3</v>
      </c>
    </row>
    <row r="143" spans="1:21" x14ac:dyDescent="0.35">
      <c r="A143" t="s">
        <v>393</v>
      </c>
      <c r="B143" t="s">
        <v>35</v>
      </c>
      <c r="C143" s="32">
        <v>45141</v>
      </c>
      <c r="D143" t="s">
        <v>97</v>
      </c>
      <c r="E143" t="s">
        <v>48</v>
      </c>
      <c r="F143" t="s">
        <v>111</v>
      </c>
      <c r="G143" t="s">
        <v>55</v>
      </c>
      <c r="H143" t="s">
        <v>66</v>
      </c>
      <c r="I143" t="s">
        <v>69</v>
      </c>
      <c r="J143" t="s">
        <v>99</v>
      </c>
      <c r="K143">
        <v>10</v>
      </c>
      <c r="L143">
        <v>2217</v>
      </c>
      <c r="M143">
        <v>22170</v>
      </c>
      <c r="N143">
        <v>20</v>
      </c>
      <c r="O143">
        <v>4434</v>
      </c>
      <c r="P143">
        <v>17736</v>
      </c>
      <c r="Q143">
        <v>8126</v>
      </c>
      <c r="R143">
        <v>9610</v>
      </c>
      <c r="S143">
        <v>1</v>
      </c>
      <c r="T143">
        <v>1774</v>
      </c>
      <c r="U143">
        <v>3</v>
      </c>
    </row>
    <row r="144" spans="1:21" x14ac:dyDescent="0.35">
      <c r="A144" t="s">
        <v>394</v>
      </c>
      <c r="B144" t="s">
        <v>35</v>
      </c>
      <c r="C144" s="32">
        <v>45145</v>
      </c>
      <c r="D144" t="s">
        <v>115</v>
      </c>
      <c r="E144" t="s">
        <v>56</v>
      </c>
      <c r="F144" t="s">
        <v>98</v>
      </c>
      <c r="G144" t="s">
        <v>49</v>
      </c>
      <c r="H144" t="s">
        <v>64</v>
      </c>
      <c r="I144" t="s">
        <v>69</v>
      </c>
      <c r="J144" t="s">
        <v>95</v>
      </c>
      <c r="K144">
        <v>11</v>
      </c>
      <c r="L144">
        <v>3341</v>
      </c>
      <c r="M144">
        <v>36751</v>
      </c>
      <c r="N144">
        <v>25</v>
      </c>
      <c r="O144">
        <v>9188</v>
      </c>
      <c r="P144">
        <v>27563</v>
      </c>
      <c r="Q144">
        <v>14867</v>
      </c>
      <c r="R144">
        <v>12696</v>
      </c>
      <c r="S144">
        <v>1</v>
      </c>
      <c r="T144">
        <v>2506</v>
      </c>
      <c r="U144">
        <v>4.9000000000000004</v>
      </c>
    </row>
    <row r="145" spans="1:21" x14ac:dyDescent="0.35">
      <c r="A145" t="s">
        <v>397</v>
      </c>
      <c r="B145" t="s">
        <v>35</v>
      </c>
      <c r="C145" s="32">
        <v>45147</v>
      </c>
      <c r="D145" t="s">
        <v>142</v>
      </c>
      <c r="E145" t="s">
        <v>52</v>
      </c>
      <c r="F145" t="s">
        <v>151</v>
      </c>
      <c r="G145" t="s">
        <v>53</v>
      </c>
      <c r="H145" t="s">
        <v>68</v>
      </c>
      <c r="I145" t="s">
        <v>69</v>
      </c>
      <c r="J145" t="s">
        <v>99</v>
      </c>
      <c r="K145">
        <v>4</v>
      </c>
      <c r="L145">
        <v>3505</v>
      </c>
      <c r="M145">
        <v>14020</v>
      </c>
      <c r="N145">
        <v>5</v>
      </c>
      <c r="O145">
        <v>701</v>
      </c>
      <c r="P145">
        <v>13319</v>
      </c>
      <c r="Q145">
        <v>7171</v>
      </c>
      <c r="R145">
        <v>6148</v>
      </c>
      <c r="S145">
        <v>1</v>
      </c>
      <c r="T145">
        <v>3330</v>
      </c>
      <c r="U145">
        <v>4.9000000000000004</v>
      </c>
    </row>
    <row r="146" spans="1:21" x14ac:dyDescent="0.35">
      <c r="A146" t="s">
        <v>409</v>
      </c>
      <c r="B146" t="s">
        <v>35</v>
      </c>
      <c r="C146" s="32">
        <v>45155</v>
      </c>
      <c r="D146" t="s">
        <v>142</v>
      </c>
      <c r="E146" t="s">
        <v>59</v>
      </c>
      <c r="F146" t="s">
        <v>108</v>
      </c>
      <c r="G146" t="s">
        <v>51</v>
      </c>
      <c r="H146" t="s">
        <v>64</v>
      </c>
      <c r="I146" t="s">
        <v>69</v>
      </c>
      <c r="J146" t="s">
        <v>99</v>
      </c>
      <c r="K146">
        <v>5</v>
      </c>
      <c r="L146">
        <v>3998</v>
      </c>
      <c r="M146">
        <v>19990</v>
      </c>
      <c r="N146">
        <v>0</v>
      </c>
      <c r="O146">
        <v>0</v>
      </c>
      <c r="P146">
        <v>19990</v>
      </c>
      <c r="Q146">
        <v>9236</v>
      </c>
      <c r="R146">
        <v>10754</v>
      </c>
      <c r="S146">
        <v>1</v>
      </c>
      <c r="T146">
        <v>3998</v>
      </c>
      <c r="U146">
        <v>4.3</v>
      </c>
    </row>
    <row r="147" spans="1:21" x14ac:dyDescent="0.35">
      <c r="A147" t="s">
        <v>414</v>
      </c>
      <c r="B147" t="s">
        <v>35</v>
      </c>
      <c r="C147" s="32">
        <v>45159</v>
      </c>
      <c r="D147" t="s">
        <v>101</v>
      </c>
      <c r="E147" t="s">
        <v>59</v>
      </c>
      <c r="F147" t="s">
        <v>106</v>
      </c>
      <c r="G147" t="s">
        <v>57</v>
      </c>
      <c r="H147" t="s">
        <v>64</v>
      </c>
      <c r="I147" t="s">
        <v>69</v>
      </c>
      <c r="J147" t="s">
        <v>99</v>
      </c>
      <c r="K147">
        <v>4</v>
      </c>
      <c r="L147">
        <v>4946</v>
      </c>
      <c r="M147">
        <v>19784</v>
      </c>
      <c r="N147">
        <v>15</v>
      </c>
      <c r="O147">
        <v>2968</v>
      </c>
      <c r="P147">
        <v>16816</v>
      </c>
      <c r="Q147">
        <v>7856</v>
      </c>
      <c r="R147">
        <v>8960</v>
      </c>
      <c r="S147">
        <v>0</v>
      </c>
      <c r="T147">
        <v>0</v>
      </c>
      <c r="U147">
        <v>4</v>
      </c>
    </row>
    <row r="148" spans="1:21" x14ac:dyDescent="0.35">
      <c r="A148" t="s">
        <v>415</v>
      </c>
      <c r="B148" t="s">
        <v>35</v>
      </c>
      <c r="C148" s="32">
        <v>45159</v>
      </c>
      <c r="D148" t="s">
        <v>113</v>
      </c>
      <c r="E148" t="s">
        <v>50</v>
      </c>
      <c r="F148" t="s">
        <v>94</v>
      </c>
      <c r="G148" t="s">
        <v>57</v>
      </c>
      <c r="H148" t="s">
        <v>64</v>
      </c>
      <c r="I148" t="s">
        <v>69</v>
      </c>
      <c r="J148" t="s">
        <v>103</v>
      </c>
      <c r="K148">
        <v>8</v>
      </c>
      <c r="L148">
        <v>3283</v>
      </c>
      <c r="M148">
        <v>26264</v>
      </c>
      <c r="N148">
        <v>25</v>
      </c>
      <c r="O148">
        <v>6566</v>
      </c>
      <c r="P148">
        <v>19698</v>
      </c>
      <c r="Q148">
        <v>13050</v>
      </c>
      <c r="R148">
        <v>6648</v>
      </c>
      <c r="S148">
        <v>2</v>
      </c>
      <c r="T148">
        <v>4924</v>
      </c>
      <c r="U148">
        <v>3.5</v>
      </c>
    </row>
    <row r="149" spans="1:21" x14ac:dyDescent="0.35">
      <c r="A149" t="s">
        <v>419</v>
      </c>
      <c r="B149" t="s">
        <v>35</v>
      </c>
      <c r="C149" s="32">
        <v>45161</v>
      </c>
      <c r="D149" t="s">
        <v>142</v>
      </c>
      <c r="E149" t="s">
        <v>59</v>
      </c>
      <c r="F149" t="s">
        <v>102</v>
      </c>
      <c r="G149" t="s">
        <v>55</v>
      </c>
      <c r="H149" t="s">
        <v>68</v>
      </c>
      <c r="I149" t="s">
        <v>69</v>
      </c>
      <c r="J149" t="s">
        <v>95</v>
      </c>
      <c r="K149">
        <v>11</v>
      </c>
      <c r="L149">
        <v>1290</v>
      </c>
      <c r="M149">
        <v>14190</v>
      </c>
      <c r="N149">
        <v>5</v>
      </c>
      <c r="O149">
        <v>710</v>
      </c>
      <c r="P149">
        <v>13480</v>
      </c>
      <c r="Q149">
        <v>7163</v>
      </c>
      <c r="R149">
        <v>6317</v>
      </c>
      <c r="S149">
        <v>2</v>
      </c>
      <c r="T149">
        <v>2451</v>
      </c>
      <c r="U149">
        <v>4.7</v>
      </c>
    </row>
    <row r="150" spans="1:21" x14ac:dyDescent="0.35">
      <c r="A150" t="s">
        <v>428</v>
      </c>
      <c r="B150" t="s">
        <v>35</v>
      </c>
      <c r="C150" s="32">
        <v>45167</v>
      </c>
      <c r="D150" t="s">
        <v>113</v>
      </c>
      <c r="E150" t="s">
        <v>59</v>
      </c>
      <c r="F150" t="s">
        <v>134</v>
      </c>
      <c r="G150" t="s">
        <v>57</v>
      </c>
      <c r="H150" t="s">
        <v>66</v>
      </c>
      <c r="I150" t="s">
        <v>69</v>
      </c>
      <c r="J150" t="s">
        <v>99</v>
      </c>
      <c r="K150">
        <v>15</v>
      </c>
      <c r="L150">
        <v>1213</v>
      </c>
      <c r="M150">
        <v>18195</v>
      </c>
      <c r="N150">
        <v>5</v>
      </c>
      <c r="O150">
        <v>910</v>
      </c>
      <c r="P150">
        <v>17285</v>
      </c>
      <c r="Q150">
        <v>11527</v>
      </c>
      <c r="R150">
        <v>5758</v>
      </c>
      <c r="S150">
        <v>3</v>
      </c>
      <c r="T150">
        <v>3457</v>
      </c>
      <c r="U150">
        <v>3.8</v>
      </c>
    </row>
    <row r="151" spans="1:21" x14ac:dyDescent="0.35">
      <c r="A151" t="s">
        <v>440</v>
      </c>
      <c r="B151" t="s">
        <v>36</v>
      </c>
      <c r="C151" s="32">
        <v>45175</v>
      </c>
      <c r="D151" t="s">
        <v>101</v>
      </c>
      <c r="E151" t="s">
        <v>52</v>
      </c>
      <c r="F151" t="s">
        <v>102</v>
      </c>
      <c r="G151" t="s">
        <v>49</v>
      </c>
      <c r="H151" t="s">
        <v>68</v>
      </c>
      <c r="I151" t="s">
        <v>69</v>
      </c>
      <c r="J151" t="s">
        <v>95</v>
      </c>
      <c r="K151">
        <v>10</v>
      </c>
      <c r="L151">
        <v>4689</v>
      </c>
      <c r="M151">
        <v>46890</v>
      </c>
      <c r="N151">
        <v>10</v>
      </c>
      <c r="O151">
        <v>4689</v>
      </c>
      <c r="P151">
        <v>42201</v>
      </c>
      <c r="Q151">
        <v>27827</v>
      </c>
      <c r="R151">
        <v>14374</v>
      </c>
      <c r="S151">
        <v>1</v>
      </c>
      <c r="T151">
        <v>4220</v>
      </c>
      <c r="U151">
        <v>4.4000000000000004</v>
      </c>
    </row>
    <row r="152" spans="1:21" x14ac:dyDescent="0.35">
      <c r="A152" t="s">
        <v>441</v>
      </c>
      <c r="B152" t="s">
        <v>36</v>
      </c>
      <c r="C152" s="32">
        <v>45176</v>
      </c>
      <c r="D152" t="s">
        <v>105</v>
      </c>
      <c r="E152" t="s">
        <v>54</v>
      </c>
      <c r="F152" t="s">
        <v>111</v>
      </c>
      <c r="G152" t="s">
        <v>53</v>
      </c>
      <c r="H152" t="s">
        <v>66</v>
      </c>
      <c r="I152" t="s">
        <v>69</v>
      </c>
      <c r="J152" t="s">
        <v>95</v>
      </c>
      <c r="K152">
        <v>8</v>
      </c>
      <c r="L152">
        <v>1585</v>
      </c>
      <c r="M152">
        <v>12680</v>
      </c>
      <c r="N152">
        <v>10</v>
      </c>
      <c r="O152">
        <v>1268</v>
      </c>
      <c r="P152">
        <v>11412</v>
      </c>
      <c r="Q152">
        <v>6780</v>
      </c>
      <c r="R152">
        <v>4632</v>
      </c>
      <c r="S152">
        <v>0</v>
      </c>
      <c r="T152">
        <v>0</v>
      </c>
      <c r="U152">
        <v>3.7</v>
      </c>
    </row>
    <row r="153" spans="1:21" x14ac:dyDescent="0.35">
      <c r="A153" t="s">
        <v>445</v>
      </c>
      <c r="B153" t="s">
        <v>36</v>
      </c>
      <c r="C153" s="32">
        <v>45177</v>
      </c>
      <c r="D153" t="s">
        <v>142</v>
      </c>
      <c r="E153" t="s">
        <v>54</v>
      </c>
      <c r="F153" t="s">
        <v>106</v>
      </c>
      <c r="G153" t="s">
        <v>51</v>
      </c>
      <c r="H153" t="s">
        <v>68</v>
      </c>
      <c r="I153" t="s">
        <v>69</v>
      </c>
      <c r="J153" t="s">
        <v>95</v>
      </c>
      <c r="K153">
        <v>4</v>
      </c>
      <c r="L153">
        <v>3717</v>
      </c>
      <c r="M153">
        <v>14868</v>
      </c>
      <c r="N153">
        <v>10</v>
      </c>
      <c r="O153">
        <v>1487</v>
      </c>
      <c r="P153">
        <v>13381</v>
      </c>
      <c r="Q153">
        <v>6728</v>
      </c>
      <c r="R153">
        <v>6653</v>
      </c>
      <c r="S153">
        <v>0</v>
      </c>
      <c r="T153">
        <v>0</v>
      </c>
      <c r="U153">
        <v>4</v>
      </c>
    </row>
    <row r="154" spans="1:21" x14ac:dyDescent="0.35">
      <c r="A154" t="s">
        <v>455</v>
      </c>
      <c r="B154" t="s">
        <v>36</v>
      </c>
      <c r="C154" s="32">
        <v>45183</v>
      </c>
      <c r="D154" t="s">
        <v>105</v>
      </c>
      <c r="E154" t="s">
        <v>52</v>
      </c>
      <c r="F154" t="s">
        <v>124</v>
      </c>
      <c r="G154" t="s">
        <v>51</v>
      </c>
      <c r="H154" t="s">
        <v>64</v>
      </c>
      <c r="I154" t="s">
        <v>69</v>
      </c>
      <c r="J154" t="s">
        <v>103</v>
      </c>
      <c r="K154">
        <v>11</v>
      </c>
      <c r="L154">
        <v>1619</v>
      </c>
      <c r="M154">
        <v>17809</v>
      </c>
      <c r="N154">
        <v>10</v>
      </c>
      <c r="O154">
        <v>1781</v>
      </c>
      <c r="P154">
        <v>16028</v>
      </c>
      <c r="Q154">
        <v>7962</v>
      </c>
      <c r="R154">
        <v>8066</v>
      </c>
      <c r="S154">
        <v>1</v>
      </c>
      <c r="T154">
        <v>1457</v>
      </c>
      <c r="U154">
        <v>4</v>
      </c>
    </row>
    <row r="155" spans="1:21" x14ac:dyDescent="0.35">
      <c r="A155" t="s">
        <v>460</v>
      </c>
      <c r="B155" t="s">
        <v>36</v>
      </c>
      <c r="C155" s="32">
        <v>45186</v>
      </c>
      <c r="D155" t="s">
        <v>93</v>
      </c>
      <c r="E155" t="s">
        <v>59</v>
      </c>
      <c r="F155" t="s">
        <v>108</v>
      </c>
      <c r="G155" t="s">
        <v>55</v>
      </c>
      <c r="H155" t="s">
        <v>68</v>
      </c>
      <c r="I155" t="s">
        <v>69</v>
      </c>
      <c r="J155" t="s">
        <v>95</v>
      </c>
      <c r="K155">
        <v>6</v>
      </c>
      <c r="L155">
        <v>4208</v>
      </c>
      <c r="M155">
        <v>25248</v>
      </c>
      <c r="N155">
        <v>5</v>
      </c>
      <c r="O155">
        <v>1262</v>
      </c>
      <c r="P155">
        <v>23986</v>
      </c>
      <c r="Q155">
        <v>14659</v>
      </c>
      <c r="R155">
        <v>9327</v>
      </c>
      <c r="S155">
        <v>0</v>
      </c>
      <c r="T155">
        <v>0</v>
      </c>
      <c r="U155">
        <v>4</v>
      </c>
    </row>
    <row r="156" spans="1:21" x14ac:dyDescent="0.35">
      <c r="A156" t="s">
        <v>464</v>
      </c>
      <c r="B156" t="s">
        <v>36</v>
      </c>
      <c r="C156" s="32">
        <v>45187</v>
      </c>
      <c r="D156" t="s">
        <v>120</v>
      </c>
      <c r="E156" t="s">
        <v>52</v>
      </c>
      <c r="F156" t="s">
        <v>116</v>
      </c>
      <c r="G156" t="s">
        <v>53</v>
      </c>
      <c r="H156" t="s">
        <v>66</v>
      </c>
      <c r="I156" t="s">
        <v>69</v>
      </c>
      <c r="J156" t="s">
        <v>95</v>
      </c>
      <c r="K156">
        <v>8</v>
      </c>
      <c r="L156">
        <v>2113</v>
      </c>
      <c r="M156">
        <v>16904</v>
      </c>
      <c r="N156">
        <v>15</v>
      </c>
      <c r="O156">
        <v>2536</v>
      </c>
      <c r="P156">
        <v>14368</v>
      </c>
      <c r="Q156">
        <v>8260</v>
      </c>
      <c r="R156">
        <v>6108</v>
      </c>
      <c r="S156">
        <v>2</v>
      </c>
      <c r="T156">
        <v>3592</v>
      </c>
      <c r="U156">
        <v>2.7</v>
      </c>
    </row>
    <row r="157" spans="1:21" x14ac:dyDescent="0.35">
      <c r="A157" t="s">
        <v>467</v>
      </c>
      <c r="B157" t="s">
        <v>36</v>
      </c>
      <c r="C157" s="32">
        <v>45193</v>
      </c>
      <c r="D157" t="s">
        <v>101</v>
      </c>
      <c r="E157" t="s">
        <v>50</v>
      </c>
      <c r="F157" t="s">
        <v>106</v>
      </c>
      <c r="G157" t="s">
        <v>53</v>
      </c>
      <c r="H157" t="s">
        <v>68</v>
      </c>
      <c r="I157" t="s">
        <v>69</v>
      </c>
      <c r="J157" t="s">
        <v>103</v>
      </c>
      <c r="K157">
        <v>5</v>
      </c>
      <c r="L157">
        <v>1401</v>
      </c>
      <c r="M157">
        <v>7005</v>
      </c>
      <c r="N157">
        <v>25</v>
      </c>
      <c r="O157">
        <v>1751</v>
      </c>
      <c r="P157">
        <v>5254</v>
      </c>
      <c r="Q157">
        <v>2784</v>
      </c>
      <c r="R157">
        <v>2470</v>
      </c>
      <c r="S157">
        <v>0</v>
      </c>
      <c r="T157">
        <v>0</v>
      </c>
      <c r="U157">
        <v>2.8</v>
      </c>
    </row>
    <row r="158" spans="1:21" x14ac:dyDescent="0.35">
      <c r="A158" t="s">
        <v>468</v>
      </c>
      <c r="B158" t="s">
        <v>36</v>
      </c>
      <c r="C158" s="32">
        <v>45193</v>
      </c>
      <c r="D158" t="s">
        <v>142</v>
      </c>
      <c r="E158" t="s">
        <v>50</v>
      </c>
      <c r="F158" t="s">
        <v>94</v>
      </c>
      <c r="G158" t="s">
        <v>55</v>
      </c>
      <c r="H158" t="s">
        <v>66</v>
      </c>
      <c r="I158" t="s">
        <v>69</v>
      </c>
      <c r="J158" t="s">
        <v>103</v>
      </c>
      <c r="K158">
        <v>2</v>
      </c>
      <c r="L158">
        <v>2675</v>
      </c>
      <c r="M158">
        <v>5350</v>
      </c>
      <c r="N158">
        <v>30</v>
      </c>
      <c r="O158">
        <v>1605</v>
      </c>
      <c r="P158">
        <v>3745</v>
      </c>
      <c r="Q158">
        <v>1755</v>
      </c>
      <c r="R158">
        <v>1990</v>
      </c>
      <c r="S158">
        <v>0</v>
      </c>
      <c r="T158">
        <v>0</v>
      </c>
      <c r="U158">
        <v>3.6</v>
      </c>
    </row>
    <row r="159" spans="1:21" x14ac:dyDescent="0.35">
      <c r="A159" t="s">
        <v>472</v>
      </c>
      <c r="B159" t="s">
        <v>36</v>
      </c>
      <c r="C159" s="32">
        <v>45195</v>
      </c>
      <c r="D159" t="s">
        <v>122</v>
      </c>
      <c r="E159" t="s">
        <v>52</v>
      </c>
      <c r="F159" t="s">
        <v>106</v>
      </c>
      <c r="G159" t="s">
        <v>57</v>
      </c>
      <c r="H159" t="s">
        <v>64</v>
      </c>
      <c r="I159" t="s">
        <v>69</v>
      </c>
      <c r="J159" t="s">
        <v>103</v>
      </c>
      <c r="K159">
        <v>12</v>
      </c>
      <c r="L159">
        <v>4902</v>
      </c>
      <c r="M159">
        <v>58824</v>
      </c>
      <c r="N159">
        <v>50</v>
      </c>
      <c r="O159">
        <v>29412</v>
      </c>
      <c r="P159">
        <v>29412</v>
      </c>
      <c r="Q159">
        <v>20494</v>
      </c>
      <c r="R159">
        <v>8918</v>
      </c>
      <c r="S159">
        <v>3</v>
      </c>
      <c r="T159">
        <v>7353</v>
      </c>
      <c r="U159">
        <v>4.3</v>
      </c>
    </row>
    <row r="160" spans="1:21" x14ac:dyDescent="0.35">
      <c r="A160" t="s">
        <v>475</v>
      </c>
      <c r="B160" t="s">
        <v>36</v>
      </c>
      <c r="C160" s="32">
        <v>45197</v>
      </c>
      <c r="D160" t="s">
        <v>113</v>
      </c>
      <c r="E160" t="s">
        <v>54</v>
      </c>
      <c r="F160" t="s">
        <v>102</v>
      </c>
      <c r="G160" t="s">
        <v>49</v>
      </c>
      <c r="H160" t="s">
        <v>66</v>
      </c>
      <c r="I160" t="s">
        <v>69</v>
      </c>
      <c r="J160" t="s">
        <v>103</v>
      </c>
      <c r="K160">
        <v>15</v>
      </c>
      <c r="L160">
        <v>2823</v>
      </c>
      <c r="M160">
        <v>42345</v>
      </c>
      <c r="N160">
        <v>20</v>
      </c>
      <c r="O160">
        <v>8469</v>
      </c>
      <c r="P160">
        <v>33876</v>
      </c>
      <c r="Q160">
        <v>21753</v>
      </c>
      <c r="R160">
        <v>12123</v>
      </c>
      <c r="S160">
        <v>2</v>
      </c>
      <c r="T160">
        <v>4517</v>
      </c>
      <c r="U160">
        <v>2.8</v>
      </c>
    </row>
    <row r="161" spans="1:21" x14ac:dyDescent="0.35">
      <c r="A161" t="s">
        <v>480</v>
      </c>
      <c r="B161" t="s">
        <v>37</v>
      </c>
      <c r="C161" s="32">
        <v>45200</v>
      </c>
      <c r="D161" t="s">
        <v>93</v>
      </c>
      <c r="E161" t="s">
        <v>59</v>
      </c>
      <c r="F161" t="s">
        <v>124</v>
      </c>
      <c r="G161" t="s">
        <v>55</v>
      </c>
      <c r="H161" t="s">
        <v>68</v>
      </c>
      <c r="I161" t="s">
        <v>69</v>
      </c>
      <c r="J161" t="s">
        <v>99</v>
      </c>
      <c r="K161">
        <v>13</v>
      </c>
      <c r="L161">
        <v>1676</v>
      </c>
      <c r="M161">
        <v>21788</v>
      </c>
      <c r="N161">
        <v>15</v>
      </c>
      <c r="O161">
        <v>3268</v>
      </c>
      <c r="P161">
        <v>18520</v>
      </c>
      <c r="Q161">
        <v>12023</v>
      </c>
      <c r="R161">
        <v>6497</v>
      </c>
      <c r="S161">
        <v>2</v>
      </c>
      <c r="T161">
        <v>2849</v>
      </c>
      <c r="U161">
        <v>3</v>
      </c>
    </row>
    <row r="162" spans="1:21" x14ac:dyDescent="0.35">
      <c r="A162" t="s">
        <v>489</v>
      </c>
      <c r="B162" t="s">
        <v>37</v>
      </c>
      <c r="C162" s="32">
        <v>45205</v>
      </c>
      <c r="D162" t="s">
        <v>101</v>
      </c>
      <c r="E162" t="s">
        <v>48</v>
      </c>
      <c r="F162" t="s">
        <v>151</v>
      </c>
      <c r="G162" t="s">
        <v>51</v>
      </c>
      <c r="H162" t="s">
        <v>68</v>
      </c>
      <c r="I162" t="s">
        <v>69</v>
      </c>
      <c r="J162" t="s">
        <v>95</v>
      </c>
      <c r="K162">
        <v>10</v>
      </c>
      <c r="L162">
        <v>977</v>
      </c>
      <c r="M162">
        <v>9770</v>
      </c>
      <c r="N162">
        <v>30</v>
      </c>
      <c r="O162">
        <v>2931</v>
      </c>
      <c r="P162">
        <v>6839</v>
      </c>
      <c r="Q162">
        <v>4666</v>
      </c>
      <c r="R162">
        <v>2173</v>
      </c>
      <c r="S162">
        <v>1</v>
      </c>
      <c r="T162">
        <v>684</v>
      </c>
      <c r="U162">
        <v>2.9</v>
      </c>
    </row>
    <row r="163" spans="1:21" x14ac:dyDescent="0.35">
      <c r="A163" t="s">
        <v>498</v>
      </c>
      <c r="B163" t="s">
        <v>37</v>
      </c>
      <c r="C163" s="32">
        <v>45209</v>
      </c>
      <c r="D163" t="s">
        <v>142</v>
      </c>
      <c r="E163" t="s">
        <v>56</v>
      </c>
      <c r="F163" t="s">
        <v>116</v>
      </c>
      <c r="G163" t="s">
        <v>57</v>
      </c>
      <c r="H163" t="s">
        <v>64</v>
      </c>
      <c r="I163" t="s">
        <v>69</v>
      </c>
      <c r="J163" t="s">
        <v>95</v>
      </c>
      <c r="K163">
        <v>15</v>
      </c>
      <c r="L163">
        <v>3547</v>
      </c>
      <c r="M163">
        <v>53205</v>
      </c>
      <c r="N163">
        <v>10</v>
      </c>
      <c r="O163">
        <v>5320</v>
      </c>
      <c r="P163">
        <v>47885</v>
      </c>
      <c r="Q163">
        <v>28080</v>
      </c>
      <c r="R163">
        <v>19805</v>
      </c>
      <c r="S163">
        <v>2</v>
      </c>
      <c r="T163">
        <v>6385</v>
      </c>
      <c r="U163">
        <v>4</v>
      </c>
    </row>
    <row r="164" spans="1:21" x14ac:dyDescent="0.35">
      <c r="A164" t="s">
        <v>501</v>
      </c>
      <c r="B164" t="s">
        <v>37</v>
      </c>
      <c r="C164" s="32">
        <v>45210</v>
      </c>
      <c r="D164" t="s">
        <v>101</v>
      </c>
      <c r="E164" t="s">
        <v>52</v>
      </c>
      <c r="F164" t="s">
        <v>134</v>
      </c>
      <c r="G164" t="s">
        <v>51</v>
      </c>
      <c r="H164" t="s">
        <v>64</v>
      </c>
      <c r="I164" t="s">
        <v>69</v>
      </c>
      <c r="J164" t="s">
        <v>103</v>
      </c>
      <c r="K164">
        <v>11</v>
      </c>
      <c r="L164">
        <v>576</v>
      </c>
      <c r="M164">
        <v>6336</v>
      </c>
      <c r="N164">
        <v>5</v>
      </c>
      <c r="O164">
        <v>317</v>
      </c>
      <c r="P164">
        <v>6019</v>
      </c>
      <c r="Q164">
        <v>4071</v>
      </c>
      <c r="R164">
        <v>1948</v>
      </c>
      <c r="S164">
        <v>1</v>
      </c>
      <c r="T164">
        <v>547</v>
      </c>
      <c r="U164">
        <v>2.7</v>
      </c>
    </row>
    <row r="165" spans="1:21" x14ac:dyDescent="0.35">
      <c r="A165" t="s">
        <v>502</v>
      </c>
      <c r="B165" t="s">
        <v>37</v>
      </c>
      <c r="C165" s="32">
        <v>45210</v>
      </c>
      <c r="D165" t="s">
        <v>101</v>
      </c>
      <c r="E165" t="s">
        <v>59</v>
      </c>
      <c r="F165" t="s">
        <v>102</v>
      </c>
      <c r="G165" t="s">
        <v>49</v>
      </c>
      <c r="H165" t="s">
        <v>68</v>
      </c>
      <c r="I165" t="s">
        <v>69</v>
      </c>
      <c r="J165" t="s">
        <v>95</v>
      </c>
      <c r="K165">
        <v>5</v>
      </c>
      <c r="L165">
        <v>2411</v>
      </c>
      <c r="M165">
        <v>12055</v>
      </c>
      <c r="N165">
        <v>50</v>
      </c>
      <c r="O165">
        <v>6028</v>
      </c>
      <c r="P165">
        <v>6027</v>
      </c>
      <c r="Q165">
        <v>2934</v>
      </c>
      <c r="R165">
        <v>3093</v>
      </c>
      <c r="S165">
        <v>1</v>
      </c>
      <c r="T165">
        <v>1206</v>
      </c>
      <c r="U165">
        <v>2.7</v>
      </c>
    </row>
    <row r="166" spans="1:21" x14ac:dyDescent="0.35">
      <c r="A166" t="s">
        <v>504</v>
      </c>
      <c r="B166" t="s">
        <v>37</v>
      </c>
      <c r="C166" s="32">
        <v>45211</v>
      </c>
      <c r="D166" t="s">
        <v>115</v>
      </c>
      <c r="E166" t="s">
        <v>48</v>
      </c>
      <c r="F166" t="s">
        <v>134</v>
      </c>
      <c r="G166" t="s">
        <v>51</v>
      </c>
      <c r="H166" t="s">
        <v>64</v>
      </c>
      <c r="I166" t="s">
        <v>69</v>
      </c>
      <c r="J166" t="s">
        <v>99</v>
      </c>
      <c r="K166">
        <v>6</v>
      </c>
      <c r="L166">
        <v>1033</v>
      </c>
      <c r="M166">
        <v>6198</v>
      </c>
      <c r="N166">
        <v>20</v>
      </c>
      <c r="O166">
        <v>1240</v>
      </c>
      <c r="P166">
        <v>4958</v>
      </c>
      <c r="Q166">
        <v>2686</v>
      </c>
      <c r="R166">
        <v>2272</v>
      </c>
      <c r="S166">
        <v>0</v>
      </c>
      <c r="T166">
        <v>0</v>
      </c>
      <c r="U166">
        <v>3.1</v>
      </c>
    </row>
    <row r="167" spans="1:21" x14ac:dyDescent="0.35">
      <c r="A167" t="s">
        <v>521</v>
      </c>
      <c r="B167" t="s">
        <v>37</v>
      </c>
      <c r="C167" s="32">
        <v>45224</v>
      </c>
      <c r="D167" t="s">
        <v>101</v>
      </c>
      <c r="E167" t="s">
        <v>48</v>
      </c>
      <c r="F167" t="s">
        <v>116</v>
      </c>
      <c r="G167" t="s">
        <v>57</v>
      </c>
      <c r="H167" t="s">
        <v>64</v>
      </c>
      <c r="I167" t="s">
        <v>69</v>
      </c>
      <c r="J167" t="s">
        <v>103</v>
      </c>
      <c r="K167">
        <v>5</v>
      </c>
      <c r="L167">
        <v>2853</v>
      </c>
      <c r="M167">
        <v>14265</v>
      </c>
      <c r="N167">
        <v>50</v>
      </c>
      <c r="O167">
        <v>7132</v>
      </c>
      <c r="P167">
        <v>7133</v>
      </c>
      <c r="Q167">
        <v>4052</v>
      </c>
      <c r="R167">
        <v>3081</v>
      </c>
      <c r="S167">
        <v>0</v>
      </c>
      <c r="T167">
        <v>0</v>
      </c>
      <c r="U167">
        <v>3.4</v>
      </c>
    </row>
    <row r="168" spans="1:21" x14ac:dyDescent="0.35">
      <c r="A168" t="s">
        <v>523</v>
      </c>
      <c r="B168" t="s">
        <v>37</v>
      </c>
      <c r="C168" s="32">
        <v>45225</v>
      </c>
      <c r="D168" t="s">
        <v>115</v>
      </c>
      <c r="E168" t="s">
        <v>50</v>
      </c>
      <c r="F168" t="s">
        <v>98</v>
      </c>
      <c r="G168" t="s">
        <v>57</v>
      </c>
      <c r="H168" t="s">
        <v>68</v>
      </c>
      <c r="I168" t="s">
        <v>69</v>
      </c>
      <c r="J168" t="s">
        <v>99</v>
      </c>
      <c r="K168">
        <v>3</v>
      </c>
      <c r="L168">
        <v>2711</v>
      </c>
      <c r="M168">
        <v>8133</v>
      </c>
      <c r="N168">
        <v>40</v>
      </c>
      <c r="O168">
        <v>3253</v>
      </c>
      <c r="P168">
        <v>4880</v>
      </c>
      <c r="Q168">
        <v>2884</v>
      </c>
      <c r="R168">
        <v>1996</v>
      </c>
      <c r="S168">
        <v>1</v>
      </c>
      <c r="T168">
        <v>1627</v>
      </c>
      <c r="U168">
        <v>4.2</v>
      </c>
    </row>
    <row r="169" spans="1:21" x14ac:dyDescent="0.35">
      <c r="A169" t="s">
        <v>524</v>
      </c>
      <c r="B169" t="s">
        <v>37</v>
      </c>
      <c r="C169" s="32">
        <v>45225</v>
      </c>
      <c r="D169" t="s">
        <v>97</v>
      </c>
      <c r="E169" t="s">
        <v>48</v>
      </c>
      <c r="F169" t="s">
        <v>108</v>
      </c>
      <c r="G169" t="s">
        <v>49</v>
      </c>
      <c r="H169" t="s">
        <v>64</v>
      </c>
      <c r="I169" t="s">
        <v>69</v>
      </c>
      <c r="J169" t="s">
        <v>95</v>
      </c>
      <c r="K169">
        <v>15</v>
      </c>
      <c r="L169">
        <v>3335</v>
      </c>
      <c r="M169">
        <v>50025</v>
      </c>
      <c r="N169">
        <v>10</v>
      </c>
      <c r="O169">
        <v>5002</v>
      </c>
      <c r="P169">
        <v>45023</v>
      </c>
      <c r="Q169">
        <v>21296</v>
      </c>
      <c r="R169">
        <v>23727</v>
      </c>
      <c r="S169">
        <v>2</v>
      </c>
      <c r="T169">
        <v>6003</v>
      </c>
      <c r="U169">
        <v>2.8</v>
      </c>
    </row>
    <row r="170" spans="1:21" x14ac:dyDescent="0.35">
      <c r="A170" t="s">
        <v>530</v>
      </c>
      <c r="B170" t="s">
        <v>38</v>
      </c>
      <c r="C170" s="32">
        <v>45232</v>
      </c>
      <c r="D170" t="s">
        <v>122</v>
      </c>
      <c r="E170" t="s">
        <v>50</v>
      </c>
      <c r="F170" t="s">
        <v>134</v>
      </c>
      <c r="G170" t="s">
        <v>55</v>
      </c>
      <c r="H170" t="s">
        <v>66</v>
      </c>
      <c r="I170" t="s">
        <v>69</v>
      </c>
      <c r="J170" t="s">
        <v>99</v>
      </c>
      <c r="K170">
        <v>6</v>
      </c>
      <c r="L170">
        <v>4273</v>
      </c>
      <c r="M170">
        <v>25638</v>
      </c>
      <c r="N170">
        <v>10</v>
      </c>
      <c r="O170">
        <v>2564</v>
      </c>
      <c r="P170">
        <v>23074</v>
      </c>
      <c r="Q170">
        <v>15077</v>
      </c>
      <c r="R170">
        <v>7997</v>
      </c>
      <c r="S170">
        <v>1</v>
      </c>
      <c r="T170">
        <v>3846</v>
      </c>
      <c r="U170">
        <v>4.8</v>
      </c>
    </row>
    <row r="171" spans="1:21" x14ac:dyDescent="0.35">
      <c r="A171" t="s">
        <v>535</v>
      </c>
      <c r="B171" t="s">
        <v>38</v>
      </c>
      <c r="C171" s="32">
        <v>45236</v>
      </c>
      <c r="D171" t="s">
        <v>120</v>
      </c>
      <c r="E171" t="s">
        <v>54</v>
      </c>
      <c r="F171" t="s">
        <v>134</v>
      </c>
      <c r="G171" t="s">
        <v>49</v>
      </c>
      <c r="H171" t="s">
        <v>64</v>
      </c>
      <c r="I171" t="s">
        <v>69</v>
      </c>
      <c r="J171" t="s">
        <v>95</v>
      </c>
      <c r="K171">
        <v>11</v>
      </c>
      <c r="L171">
        <v>3923</v>
      </c>
      <c r="M171">
        <v>43153</v>
      </c>
      <c r="N171">
        <v>20</v>
      </c>
      <c r="O171">
        <v>8631</v>
      </c>
      <c r="P171">
        <v>34522</v>
      </c>
      <c r="Q171">
        <v>21154</v>
      </c>
      <c r="R171">
        <v>13368</v>
      </c>
      <c r="S171">
        <v>2</v>
      </c>
      <c r="T171">
        <v>6277</v>
      </c>
      <c r="U171">
        <v>3.5</v>
      </c>
    </row>
    <row r="172" spans="1:21" x14ac:dyDescent="0.35">
      <c r="A172" t="s">
        <v>540</v>
      </c>
      <c r="B172" t="s">
        <v>38</v>
      </c>
      <c r="C172" s="32">
        <v>45238</v>
      </c>
      <c r="D172" t="s">
        <v>115</v>
      </c>
      <c r="E172" t="s">
        <v>59</v>
      </c>
      <c r="F172" t="s">
        <v>108</v>
      </c>
      <c r="G172" t="s">
        <v>51</v>
      </c>
      <c r="H172" t="s">
        <v>64</v>
      </c>
      <c r="I172" t="s">
        <v>69</v>
      </c>
      <c r="J172" t="s">
        <v>103</v>
      </c>
      <c r="K172">
        <v>3</v>
      </c>
      <c r="L172">
        <v>3596</v>
      </c>
      <c r="M172">
        <v>10788</v>
      </c>
      <c r="N172">
        <v>10</v>
      </c>
      <c r="O172">
        <v>1079</v>
      </c>
      <c r="P172">
        <v>9709</v>
      </c>
      <c r="Q172">
        <v>5574</v>
      </c>
      <c r="R172">
        <v>4135</v>
      </c>
      <c r="S172">
        <v>1</v>
      </c>
      <c r="T172">
        <v>3236</v>
      </c>
      <c r="U172">
        <v>3.8</v>
      </c>
    </row>
    <row r="173" spans="1:21" x14ac:dyDescent="0.35">
      <c r="A173" t="s">
        <v>541</v>
      </c>
      <c r="B173" t="s">
        <v>38</v>
      </c>
      <c r="C173" s="32">
        <v>45238</v>
      </c>
      <c r="D173" t="s">
        <v>93</v>
      </c>
      <c r="E173" t="s">
        <v>54</v>
      </c>
      <c r="F173" t="s">
        <v>108</v>
      </c>
      <c r="G173" t="s">
        <v>49</v>
      </c>
      <c r="H173" t="s">
        <v>68</v>
      </c>
      <c r="I173" t="s">
        <v>69</v>
      </c>
      <c r="J173" t="s">
        <v>99</v>
      </c>
      <c r="K173">
        <v>5</v>
      </c>
      <c r="L173">
        <v>3310</v>
      </c>
      <c r="M173">
        <v>16550</v>
      </c>
      <c r="N173">
        <v>20</v>
      </c>
      <c r="O173">
        <v>3310</v>
      </c>
      <c r="P173">
        <v>13240</v>
      </c>
      <c r="Q173">
        <v>6822</v>
      </c>
      <c r="R173">
        <v>6418</v>
      </c>
      <c r="S173">
        <v>1</v>
      </c>
      <c r="T173">
        <v>2648</v>
      </c>
      <c r="U173">
        <v>3</v>
      </c>
    </row>
    <row r="174" spans="1:21" x14ac:dyDescent="0.35">
      <c r="A174" t="s">
        <v>545</v>
      </c>
      <c r="B174" t="s">
        <v>38</v>
      </c>
      <c r="C174" s="32">
        <v>45241</v>
      </c>
      <c r="D174" t="s">
        <v>101</v>
      </c>
      <c r="E174" t="s">
        <v>58</v>
      </c>
      <c r="F174" t="s">
        <v>151</v>
      </c>
      <c r="G174" t="s">
        <v>51</v>
      </c>
      <c r="H174" t="s">
        <v>64</v>
      </c>
      <c r="I174" t="s">
        <v>69</v>
      </c>
      <c r="J174" t="s">
        <v>95</v>
      </c>
      <c r="K174">
        <v>10</v>
      </c>
      <c r="L174">
        <v>457</v>
      </c>
      <c r="M174">
        <v>4570</v>
      </c>
      <c r="N174">
        <v>0</v>
      </c>
      <c r="O174">
        <v>0</v>
      </c>
      <c r="P174">
        <v>4570</v>
      </c>
      <c r="Q174">
        <v>2336</v>
      </c>
      <c r="R174">
        <v>2234</v>
      </c>
      <c r="S174">
        <v>0</v>
      </c>
      <c r="T174">
        <v>0</v>
      </c>
      <c r="U174">
        <v>3.5</v>
      </c>
    </row>
    <row r="175" spans="1:21" x14ac:dyDescent="0.35">
      <c r="A175" t="s">
        <v>546</v>
      </c>
      <c r="B175" t="s">
        <v>38</v>
      </c>
      <c r="C175" s="32">
        <v>45241</v>
      </c>
      <c r="D175" t="s">
        <v>105</v>
      </c>
      <c r="E175" t="s">
        <v>56</v>
      </c>
      <c r="F175" t="s">
        <v>151</v>
      </c>
      <c r="G175" t="s">
        <v>51</v>
      </c>
      <c r="H175" t="s">
        <v>68</v>
      </c>
      <c r="I175" t="s">
        <v>69</v>
      </c>
      <c r="J175" t="s">
        <v>95</v>
      </c>
      <c r="K175">
        <v>14</v>
      </c>
      <c r="L175">
        <v>982</v>
      </c>
      <c r="M175">
        <v>13748</v>
      </c>
      <c r="N175">
        <v>30</v>
      </c>
      <c r="O175">
        <v>4124</v>
      </c>
      <c r="P175">
        <v>9624</v>
      </c>
      <c r="Q175">
        <v>4543</v>
      </c>
      <c r="R175">
        <v>5081</v>
      </c>
      <c r="S175">
        <v>2</v>
      </c>
      <c r="T175">
        <v>1375</v>
      </c>
      <c r="U175">
        <v>3.1</v>
      </c>
    </row>
    <row r="176" spans="1:21" x14ac:dyDescent="0.35">
      <c r="A176" t="s">
        <v>550</v>
      </c>
      <c r="B176" t="s">
        <v>38</v>
      </c>
      <c r="C176" s="32">
        <v>45247</v>
      </c>
      <c r="D176" t="s">
        <v>93</v>
      </c>
      <c r="E176" t="s">
        <v>52</v>
      </c>
      <c r="F176" t="s">
        <v>111</v>
      </c>
      <c r="G176" t="s">
        <v>57</v>
      </c>
      <c r="H176" t="s">
        <v>64</v>
      </c>
      <c r="I176" t="s">
        <v>69</v>
      </c>
      <c r="J176" t="s">
        <v>95</v>
      </c>
      <c r="K176">
        <v>11</v>
      </c>
      <c r="L176">
        <v>1976</v>
      </c>
      <c r="M176">
        <v>21736</v>
      </c>
      <c r="N176">
        <v>25</v>
      </c>
      <c r="O176">
        <v>5434</v>
      </c>
      <c r="P176">
        <v>16302</v>
      </c>
      <c r="Q176">
        <v>10858</v>
      </c>
      <c r="R176">
        <v>5444</v>
      </c>
      <c r="S176">
        <v>1</v>
      </c>
      <c r="T176">
        <v>1482</v>
      </c>
      <c r="U176">
        <v>4.9000000000000004</v>
      </c>
    </row>
    <row r="177" spans="1:21" x14ac:dyDescent="0.35">
      <c r="A177" t="s">
        <v>556</v>
      </c>
      <c r="B177" t="s">
        <v>38</v>
      </c>
      <c r="C177" s="32">
        <v>45253</v>
      </c>
      <c r="D177" t="s">
        <v>122</v>
      </c>
      <c r="E177" t="s">
        <v>54</v>
      </c>
      <c r="F177" t="s">
        <v>124</v>
      </c>
      <c r="G177" t="s">
        <v>53</v>
      </c>
      <c r="H177" t="s">
        <v>66</v>
      </c>
      <c r="I177" t="s">
        <v>69</v>
      </c>
      <c r="J177" t="s">
        <v>99</v>
      </c>
      <c r="K177">
        <v>15</v>
      </c>
      <c r="L177">
        <v>1651</v>
      </c>
      <c r="M177">
        <v>24765</v>
      </c>
      <c r="N177">
        <v>50</v>
      </c>
      <c r="O177">
        <v>12382</v>
      </c>
      <c r="P177">
        <v>12383</v>
      </c>
      <c r="Q177">
        <v>6061</v>
      </c>
      <c r="R177">
        <v>6322</v>
      </c>
      <c r="S177">
        <v>3</v>
      </c>
      <c r="T177">
        <v>2476</v>
      </c>
      <c r="U177">
        <v>4.9000000000000004</v>
      </c>
    </row>
    <row r="178" spans="1:21" x14ac:dyDescent="0.35">
      <c r="A178" t="s">
        <v>559</v>
      </c>
      <c r="B178" t="s">
        <v>38</v>
      </c>
      <c r="C178" s="32">
        <v>45254</v>
      </c>
      <c r="D178" t="s">
        <v>113</v>
      </c>
      <c r="E178" t="s">
        <v>58</v>
      </c>
      <c r="F178" t="s">
        <v>134</v>
      </c>
      <c r="G178" t="s">
        <v>55</v>
      </c>
      <c r="H178" t="s">
        <v>64</v>
      </c>
      <c r="I178" t="s">
        <v>69</v>
      </c>
      <c r="J178" t="s">
        <v>99</v>
      </c>
      <c r="K178">
        <v>10</v>
      </c>
      <c r="L178">
        <v>2818</v>
      </c>
      <c r="M178">
        <v>28180</v>
      </c>
      <c r="N178">
        <v>50</v>
      </c>
      <c r="O178">
        <v>14090</v>
      </c>
      <c r="P178">
        <v>14090</v>
      </c>
      <c r="Q178">
        <v>8366</v>
      </c>
      <c r="R178">
        <v>5724</v>
      </c>
      <c r="S178">
        <v>2</v>
      </c>
      <c r="T178">
        <v>2818</v>
      </c>
      <c r="U178">
        <v>2.9</v>
      </c>
    </row>
    <row r="179" spans="1:21" x14ac:dyDescent="0.35">
      <c r="A179" t="s">
        <v>562</v>
      </c>
      <c r="B179" t="s">
        <v>38</v>
      </c>
      <c r="C179" s="32">
        <v>45255</v>
      </c>
      <c r="D179" t="s">
        <v>93</v>
      </c>
      <c r="E179" t="s">
        <v>59</v>
      </c>
      <c r="F179" t="s">
        <v>102</v>
      </c>
      <c r="G179" t="s">
        <v>49</v>
      </c>
      <c r="H179" t="s">
        <v>64</v>
      </c>
      <c r="I179" t="s">
        <v>69</v>
      </c>
      <c r="J179" t="s">
        <v>95</v>
      </c>
      <c r="K179">
        <v>7</v>
      </c>
      <c r="L179">
        <v>945</v>
      </c>
      <c r="M179">
        <v>6615</v>
      </c>
      <c r="N179">
        <v>15</v>
      </c>
      <c r="O179">
        <v>992</v>
      </c>
      <c r="P179">
        <v>5623</v>
      </c>
      <c r="Q179">
        <v>2626</v>
      </c>
      <c r="R179">
        <v>2997</v>
      </c>
      <c r="S179">
        <v>0</v>
      </c>
      <c r="T179">
        <v>0</v>
      </c>
      <c r="U179">
        <v>2.5</v>
      </c>
    </row>
    <row r="180" spans="1:21" x14ac:dyDescent="0.35">
      <c r="A180" t="s">
        <v>565</v>
      </c>
      <c r="B180" t="s">
        <v>38</v>
      </c>
      <c r="C180" s="32">
        <v>45260</v>
      </c>
      <c r="D180" t="s">
        <v>115</v>
      </c>
      <c r="E180" t="s">
        <v>59</v>
      </c>
      <c r="F180" t="s">
        <v>151</v>
      </c>
      <c r="G180" t="s">
        <v>51</v>
      </c>
      <c r="H180" t="s">
        <v>64</v>
      </c>
      <c r="I180" t="s">
        <v>69</v>
      </c>
      <c r="J180" t="s">
        <v>103</v>
      </c>
      <c r="K180">
        <v>3</v>
      </c>
      <c r="L180">
        <v>1420</v>
      </c>
      <c r="M180">
        <v>4260</v>
      </c>
      <c r="N180">
        <v>40</v>
      </c>
      <c r="O180">
        <v>1704</v>
      </c>
      <c r="P180">
        <v>2556</v>
      </c>
      <c r="Q180">
        <v>1578</v>
      </c>
      <c r="R180">
        <v>978</v>
      </c>
      <c r="S180">
        <v>0</v>
      </c>
      <c r="T180">
        <v>0</v>
      </c>
      <c r="U180">
        <v>3.7</v>
      </c>
    </row>
    <row r="181" spans="1:21" x14ac:dyDescent="0.35">
      <c r="A181" t="s">
        <v>571</v>
      </c>
      <c r="B181" t="s">
        <v>39</v>
      </c>
      <c r="C181" s="32">
        <v>45262</v>
      </c>
      <c r="D181" t="s">
        <v>122</v>
      </c>
      <c r="E181" t="s">
        <v>52</v>
      </c>
      <c r="F181" t="s">
        <v>94</v>
      </c>
      <c r="G181" t="s">
        <v>55</v>
      </c>
      <c r="H181" t="s">
        <v>68</v>
      </c>
      <c r="I181" t="s">
        <v>69</v>
      </c>
      <c r="J181" t="s">
        <v>95</v>
      </c>
      <c r="K181">
        <v>7</v>
      </c>
      <c r="L181">
        <v>3361</v>
      </c>
      <c r="M181">
        <v>23527</v>
      </c>
      <c r="N181">
        <v>20</v>
      </c>
      <c r="O181">
        <v>4705</v>
      </c>
      <c r="P181">
        <v>18822</v>
      </c>
      <c r="Q181">
        <v>9699</v>
      </c>
      <c r="R181">
        <v>9123</v>
      </c>
      <c r="S181">
        <v>1</v>
      </c>
      <c r="T181">
        <v>2689</v>
      </c>
      <c r="U181">
        <v>3.9</v>
      </c>
    </row>
    <row r="182" spans="1:21" x14ac:dyDescent="0.35">
      <c r="A182" t="s">
        <v>578</v>
      </c>
      <c r="B182" t="s">
        <v>39</v>
      </c>
      <c r="C182" s="32">
        <v>45265</v>
      </c>
      <c r="D182" t="s">
        <v>120</v>
      </c>
      <c r="E182" t="s">
        <v>52</v>
      </c>
      <c r="F182" t="s">
        <v>116</v>
      </c>
      <c r="G182" t="s">
        <v>53</v>
      </c>
      <c r="H182" t="s">
        <v>66</v>
      </c>
      <c r="I182" t="s">
        <v>69</v>
      </c>
      <c r="J182" t="s">
        <v>99</v>
      </c>
      <c r="K182">
        <v>11</v>
      </c>
      <c r="L182">
        <v>2549</v>
      </c>
      <c r="M182">
        <v>28039</v>
      </c>
      <c r="N182">
        <v>15</v>
      </c>
      <c r="O182">
        <v>4206</v>
      </c>
      <c r="P182">
        <v>23833</v>
      </c>
      <c r="Q182">
        <v>14245</v>
      </c>
      <c r="R182">
        <v>9588</v>
      </c>
      <c r="S182">
        <v>2</v>
      </c>
      <c r="T182">
        <v>4333</v>
      </c>
      <c r="U182">
        <v>4.5999999999999996</v>
      </c>
    </row>
    <row r="183" spans="1:21" x14ac:dyDescent="0.35">
      <c r="A183" t="s">
        <v>591</v>
      </c>
      <c r="B183" t="s">
        <v>39</v>
      </c>
      <c r="C183" s="32">
        <v>45274</v>
      </c>
      <c r="D183" t="s">
        <v>113</v>
      </c>
      <c r="E183" t="s">
        <v>58</v>
      </c>
      <c r="F183" t="s">
        <v>98</v>
      </c>
      <c r="G183" t="s">
        <v>51</v>
      </c>
      <c r="H183" t="s">
        <v>68</v>
      </c>
      <c r="I183" t="s">
        <v>69</v>
      </c>
      <c r="J183" t="s">
        <v>99</v>
      </c>
      <c r="K183">
        <v>14</v>
      </c>
      <c r="L183">
        <v>3382</v>
      </c>
      <c r="M183">
        <v>47348</v>
      </c>
      <c r="N183">
        <v>10</v>
      </c>
      <c r="O183">
        <v>4735</v>
      </c>
      <c r="P183">
        <v>42613</v>
      </c>
      <c r="Q183">
        <v>21836</v>
      </c>
      <c r="R183">
        <v>20777</v>
      </c>
      <c r="S183">
        <v>2</v>
      </c>
      <c r="T183">
        <v>6088</v>
      </c>
      <c r="U183">
        <v>4.5999999999999996</v>
      </c>
    </row>
    <row r="184" spans="1:21" x14ac:dyDescent="0.35">
      <c r="A184" t="s">
        <v>599</v>
      </c>
      <c r="B184" t="s">
        <v>39</v>
      </c>
      <c r="C184" s="32">
        <v>45280</v>
      </c>
      <c r="D184" t="s">
        <v>93</v>
      </c>
      <c r="E184" t="s">
        <v>50</v>
      </c>
      <c r="F184" t="s">
        <v>124</v>
      </c>
      <c r="G184" t="s">
        <v>55</v>
      </c>
      <c r="H184" t="s">
        <v>64</v>
      </c>
      <c r="I184" t="s">
        <v>69</v>
      </c>
      <c r="J184" t="s">
        <v>99</v>
      </c>
      <c r="K184">
        <v>4</v>
      </c>
      <c r="L184">
        <v>2200</v>
      </c>
      <c r="M184">
        <v>8800</v>
      </c>
      <c r="N184">
        <v>15</v>
      </c>
      <c r="O184">
        <v>1320</v>
      </c>
      <c r="P184">
        <v>7480</v>
      </c>
      <c r="Q184">
        <v>3939</v>
      </c>
      <c r="R184">
        <v>3541</v>
      </c>
      <c r="S184">
        <v>1</v>
      </c>
      <c r="T184">
        <v>1870</v>
      </c>
      <c r="U184">
        <v>3.7</v>
      </c>
    </row>
    <row r="185" spans="1:21" x14ac:dyDescent="0.35">
      <c r="A185" t="s">
        <v>602</v>
      </c>
      <c r="B185" t="s">
        <v>39</v>
      </c>
      <c r="C185" s="32">
        <v>45280</v>
      </c>
      <c r="D185" t="s">
        <v>105</v>
      </c>
      <c r="E185" t="s">
        <v>59</v>
      </c>
      <c r="F185" t="s">
        <v>116</v>
      </c>
      <c r="G185" t="s">
        <v>55</v>
      </c>
      <c r="H185" t="s">
        <v>68</v>
      </c>
      <c r="I185" t="s">
        <v>69</v>
      </c>
      <c r="J185" t="s">
        <v>103</v>
      </c>
      <c r="K185">
        <v>5</v>
      </c>
      <c r="L185">
        <v>2529</v>
      </c>
      <c r="M185">
        <v>12645</v>
      </c>
      <c r="N185">
        <v>10</v>
      </c>
      <c r="O185">
        <v>1264</v>
      </c>
      <c r="P185">
        <v>11381</v>
      </c>
      <c r="Q185">
        <v>5706</v>
      </c>
      <c r="R185">
        <v>5675</v>
      </c>
      <c r="S185">
        <v>0</v>
      </c>
      <c r="T185">
        <v>0</v>
      </c>
      <c r="U185">
        <v>3.3</v>
      </c>
    </row>
    <row r="186" spans="1:21" x14ac:dyDescent="0.35">
      <c r="A186" t="s">
        <v>604</v>
      </c>
      <c r="B186" t="s">
        <v>39</v>
      </c>
      <c r="C186" s="32">
        <v>45282</v>
      </c>
      <c r="D186" t="s">
        <v>122</v>
      </c>
      <c r="E186" t="s">
        <v>48</v>
      </c>
      <c r="F186" t="s">
        <v>108</v>
      </c>
      <c r="G186" t="s">
        <v>57</v>
      </c>
      <c r="H186" t="s">
        <v>68</v>
      </c>
      <c r="I186" t="s">
        <v>69</v>
      </c>
      <c r="J186" t="s">
        <v>103</v>
      </c>
      <c r="K186">
        <v>8</v>
      </c>
      <c r="L186">
        <v>3016</v>
      </c>
      <c r="M186">
        <v>24128</v>
      </c>
      <c r="N186">
        <v>0</v>
      </c>
      <c r="O186">
        <v>0</v>
      </c>
      <c r="P186">
        <v>24128</v>
      </c>
      <c r="Q186">
        <v>14817</v>
      </c>
      <c r="R186">
        <v>9311</v>
      </c>
      <c r="S186">
        <v>1</v>
      </c>
      <c r="T186">
        <v>3016</v>
      </c>
      <c r="U186">
        <v>4.5</v>
      </c>
    </row>
    <row r="187" spans="1:21" x14ac:dyDescent="0.35">
      <c r="A187" t="s">
        <v>605</v>
      </c>
      <c r="B187" t="s">
        <v>39</v>
      </c>
      <c r="C187" s="32">
        <v>45283</v>
      </c>
      <c r="D187" t="s">
        <v>115</v>
      </c>
      <c r="E187" t="s">
        <v>59</v>
      </c>
      <c r="F187" t="s">
        <v>134</v>
      </c>
      <c r="G187" t="s">
        <v>55</v>
      </c>
      <c r="H187" t="s">
        <v>68</v>
      </c>
      <c r="I187" t="s">
        <v>69</v>
      </c>
      <c r="J187" t="s">
        <v>99</v>
      </c>
      <c r="K187">
        <v>5</v>
      </c>
      <c r="L187">
        <v>3840</v>
      </c>
      <c r="M187">
        <v>19200</v>
      </c>
      <c r="N187">
        <v>30</v>
      </c>
      <c r="O187">
        <v>5760</v>
      </c>
      <c r="P187">
        <v>13440</v>
      </c>
      <c r="Q187">
        <v>7856</v>
      </c>
      <c r="R187">
        <v>5584</v>
      </c>
      <c r="S187">
        <v>0</v>
      </c>
      <c r="T187">
        <v>0</v>
      </c>
      <c r="U187">
        <v>3.7</v>
      </c>
    </row>
    <row r="188" spans="1:21" x14ac:dyDescent="0.35">
      <c r="A188" t="s">
        <v>117</v>
      </c>
      <c r="B188" t="s">
        <v>28</v>
      </c>
      <c r="C188" s="32">
        <v>44938</v>
      </c>
      <c r="D188" t="s">
        <v>105</v>
      </c>
      <c r="E188" t="s">
        <v>50</v>
      </c>
      <c r="F188" t="s">
        <v>108</v>
      </c>
      <c r="G188" t="s">
        <v>49</v>
      </c>
      <c r="H188" t="s">
        <v>66</v>
      </c>
      <c r="I188" t="s">
        <v>70</v>
      </c>
      <c r="J188" t="s">
        <v>103</v>
      </c>
      <c r="K188">
        <v>2</v>
      </c>
      <c r="L188">
        <v>512</v>
      </c>
      <c r="M188">
        <v>1024</v>
      </c>
      <c r="N188">
        <v>25</v>
      </c>
      <c r="O188">
        <v>256</v>
      </c>
      <c r="P188">
        <v>768</v>
      </c>
      <c r="Q188">
        <v>480</v>
      </c>
      <c r="R188">
        <v>288</v>
      </c>
      <c r="S188">
        <v>0</v>
      </c>
      <c r="T188">
        <v>0</v>
      </c>
      <c r="U188">
        <v>4.8</v>
      </c>
    </row>
    <row r="189" spans="1:21" x14ac:dyDescent="0.35">
      <c r="A189" t="s">
        <v>118</v>
      </c>
      <c r="B189" t="s">
        <v>28</v>
      </c>
      <c r="C189" s="32">
        <v>44938</v>
      </c>
      <c r="D189" t="s">
        <v>101</v>
      </c>
      <c r="E189" t="s">
        <v>58</v>
      </c>
      <c r="F189" t="s">
        <v>94</v>
      </c>
      <c r="G189" t="s">
        <v>49</v>
      </c>
      <c r="H189" t="s">
        <v>66</v>
      </c>
      <c r="I189" t="s">
        <v>70</v>
      </c>
      <c r="J189" t="s">
        <v>103</v>
      </c>
      <c r="K189">
        <v>4</v>
      </c>
      <c r="L189">
        <v>2724</v>
      </c>
      <c r="M189">
        <v>10896</v>
      </c>
      <c r="N189">
        <v>50</v>
      </c>
      <c r="O189">
        <v>5448</v>
      </c>
      <c r="P189">
        <v>5448</v>
      </c>
      <c r="Q189">
        <v>2670</v>
      </c>
      <c r="R189">
        <v>2778</v>
      </c>
      <c r="S189">
        <v>1</v>
      </c>
      <c r="T189">
        <v>1362</v>
      </c>
      <c r="U189">
        <v>4.9000000000000004</v>
      </c>
    </row>
    <row r="190" spans="1:21" x14ac:dyDescent="0.35">
      <c r="A190" t="s">
        <v>121</v>
      </c>
      <c r="B190" t="s">
        <v>28</v>
      </c>
      <c r="C190" s="32">
        <v>44939</v>
      </c>
      <c r="D190" t="s">
        <v>122</v>
      </c>
      <c r="E190" t="s">
        <v>48</v>
      </c>
      <c r="F190" t="s">
        <v>98</v>
      </c>
      <c r="G190" t="s">
        <v>49</v>
      </c>
      <c r="H190" t="s">
        <v>66</v>
      </c>
      <c r="I190" t="s">
        <v>70</v>
      </c>
      <c r="J190" t="s">
        <v>103</v>
      </c>
      <c r="K190">
        <v>11</v>
      </c>
      <c r="L190">
        <v>871</v>
      </c>
      <c r="M190">
        <v>9581</v>
      </c>
      <c r="N190">
        <v>5</v>
      </c>
      <c r="O190">
        <v>479</v>
      </c>
      <c r="P190">
        <v>9102</v>
      </c>
      <c r="Q190">
        <v>4292</v>
      </c>
      <c r="R190">
        <v>4810</v>
      </c>
      <c r="S190">
        <v>2</v>
      </c>
      <c r="T190">
        <v>1655</v>
      </c>
      <c r="U190">
        <v>2.8</v>
      </c>
    </row>
    <row r="191" spans="1:21" x14ac:dyDescent="0.35">
      <c r="A191" t="s">
        <v>136</v>
      </c>
      <c r="B191" t="s">
        <v>28</v>
      </c>
      <c r="C191" s="32">
        <v>44949</v>
      </c>
      <c r="D191" t="s">
        <v>113</v>
      </c>
      <c r="E191" t="s">
        <v>54</v>
      </c>
      <c r="F191" t="s">
        <v>124</v>
      </c>
      <c r="G191" t="s">
        <v>55</v>
      </c>
      <c r="H191" t="s">
        <v>68</v>
      </c>
      <c r="I191" t="s">
        <v>70</v>
      </c>
      <c r="J191" t="s">
        <v>99</v>
      </c>
      <c r="K191">
        <v>10</v>
      </c>
      <c r="L191">
        <v>589</v>
      </c>
      <c r="M191">
        <v>5890</v>
      </c>
      <c r="N191">
        <v>5</v>
      </c>
      <c r="O191">
        <v>294</v>
      </c>
      <c r="P191">
        <v>5596</v>
      </c>
      <c r="Q191">
        <v>2638</v>
      </c>
      <c r="R191">
        <v>2958</v>
      </c>
      <c r="S191">
        <v>1</v>
      </c>
      <c r="T191">
        <v>560</v>
      </c>
      <c r="U191">
        <v>4.5</v>
      </c>
    </row>
    <row r="192" spans="1:21" x14ac:dyDescent="0.35">
      <c r="A192" t="s">
        <v>155</v>
      </c>
      <c r="B192" t="s">
        <v>29</v>
      </c>
      <c r="C192" s="32">
        <v>44964</v>
      </c>
      <c r="D192" t="s">
        <v>115</v>
      </c>
      <c r="E192" t="s">
        <v>59</v>
      </c>
      <c r="F192" t="s">
        <v>108</v>
      </c>
      <c r="G192" t="s">
        <v>51</v>
      </c>
      <c r="H192" t="s">
        <v>68</v>
      </c>
      <c r="I192" t="s">
        <v>70</v>
      </c>
      <c r="J192" t="s">
        <v>103</v>
      </c>
      <c r="K192">
        <v>7</v>
      </c>
      <c r="L192">
        <v>1787</v>
      </c>
      <c r="M192">
        <v>12509</v>
      </c>
      <c r="N192">
        <v>5</v>
      </c>
      <c r="O192">
        <v>625</v>
      </c>
      <c r="P192">
        <v>11884</v>
      </c>
      <c r="Q192">
        <v>5620</v>
      </c>
      <c r="R192">
        <v>6264</v>
      </c>
      <c r="S192">
        <v>1</v>
      </c>
      <c r="T192">
        <v>1698</v>
      </c>
      <c r="U192">
        <v>3.6</v>
      </c>
    </row>
    <row r="193" spans="1:21" x14ac:dyDescent="0.35">
      <c r="A193" t="s">
        <v>159</v>
      </c>
      <c r="B193" t="s">
        <v>29</v>
      </c>
      <c r="C193" s="32">
        <v>44968</v>
      </c>
      <c r="D193" t="s">
        <v>120</v>
      </c>
      <c r="E193" t="s">
        <v>58</v>
      </c>
      <c r="F193" t="s">
        <v>108</v>
      </c>
      <c r="G193" t="s">
        <v>51</v>
      </c>
      <c r="H193" t="s">
        <v>66</v>
      </c>
      <c r="I193" t="s">
        <v>70</v>
      </c>
      <c r="J193" t="s">
        <v>99</v>
      </c>
      <c r="K193">
        <v>12</v>
      </c>
      <c r="L193">
        <v>4465</v>
      </c>
      <c r="M193">
        <v>53580</v>
      </c>
      <c r="N193">
        <v>5</v>
      </c>
      <c r="O193">
        <v>2679</v>
      </c>
      <c r="P193">
        <v>50901</v>
      </c>
      <c r="Q193">
        <v>32162</v>
      </c>
      <c r="R193">
        <v>18739</v>
      </c>
      <c r="S193">
        <v>0</v>
      </c>
      <c r="T193">
        <v>0</v>
      </c>
      <c r="U193">
        <v>4.5999999999999996</v>
      </c>
    </row>
    <row r="194" spans="1:21" x14ac:dyDescent="0.35">
      <c r="A194" t="s">
        <v>161</v>
      </c>
      <c r="B194" t="s">
        <v>29</v>
      </c>
      <c r="C194" s="32">
        <v>44970</v>
      </c>
      <c r="D194" t="s">
        <v>122</v>
      </c>
      <c r="E194" t="s">
        <v>56</v>
      </c>
      <c r="F194" t="s">
        <v>111</v>
      </c>
      <c r="G194" t="s">
        <v>53</v>
      </c>
      <c r="H194" t="s">
        <v>64</v>
      </c>
      <c r="I194" t="s">
        <v>70</v>
      </c>
      <c r="J194" t="s">
        <v>99</v>
      </c>
      <c r="K194">
        <v>2</v>
      </c>
      <c r="L194">
        <v>1159</v>
      </c>
      <c r="M194">
        <v>2318</v>
      </c>
      <c r="N194">
        <v>10</v>
      </c>
      <c r="O194">
        <v>232</v>
      </c>
      <c r="P194">
        <v>2086</v>
      </c>
      <c r="Q194">
        <v>1205</v>
      </c>
      <c r="R194">
        <v>881</v>
      </c>
      <c r="S194">
        <v>1</v>
      </c>
      <c r="T194">
        <v>1043</v>
      </c>
      <c r="U194">
        <v>4</v>
      </c>
    </row>
    <row r="195" spans="1:21" x14ac:dyDescent="0.35">
      <c r="A195" t="s">
        <v>173</v>
      </c>
      <c r="B195" t="s">
        <v>29</v>
      </c>
      <c r="C195" s="32">
        <v>44977</v>
      </c>
      <c r="D195" t="s">
        <v>120</v>
      </c>
      <c r="E195" t="s">
        <v>59</v>
      </c>
      <c r="F195" t="s">
        <v>102</v>
      </c>
      <c r="G195" t="s">
        <v>49</v>
      </c>
      <c r="H195" t="s">
        <v>64</v>
      </c>
      <c r="I195" t="s">
        <v>70</v>
      </c>
      <c r="J195" t="s">
        <v>95</v>
      </c>
      <c r="K195">
        <v>7</v>
      </c>
      <c r="L195">
        <v>2582</v>
      </c>
      <c r="M195">
        <v>18074</v>
      </c>
      <c r="N195">
        <v>15</v>
      </c>
      <c r="O195">
        <v>2711</v>
      </c>
      <c r="P195">
        <v>15363</v>
      </c>
      <c r="Q195">
        <v>10234</v>
      </c>
      <c r="R195">
        <v>5129</v>
      </c>
      <c r="S195">
        <v>0</v>
      </c>
      <c r="T195">
        <v>0</v>
      </c>
      <c r="U195">
        <v>2.9</v>
      </c>
    </row>
    <row r="196" spans="1:21" x14ac:dyDescent="0.35">
      <c r="A196" t="s">
        <v>174</v>
      </c>
      <c r="B196" t="s">
        <v>29</v>
      </c>
      <c r="C196" s="32">
        <v>44977</v>
      </c>
      <c r="D196" t="s">
        <v>115</v>
      </c>
      <c r="E196" t="s">
        <v>56</v>
      </c>
      <c r="F196" t="s">
        <v>124</v>
      </c>
      <c r="G196" t="s">
        <v>49</v>
      </c>
      <c r="H196" t="s">
        <v>64</v>
      </c>
      <c r="I196" t="s">
        <v>70</v>
      </c>
      <c r="J196" t="s">
        <v>99</v>
      </c>
      <c r="K196">
        <v>8</v>
      </c>
      <c r="L196">
        <v>302</v>
      </c>
      <c r="M196">
        <v>2416</v>
      </c>
      <c r="N196">
        <v>30</v>
      </c>
      <c r="O196">
        <v>725</v>
      </c>
      <c r="P196">
        <v>1691</v>
      </c>
      <c r="Q196">
        <v>846</v>
      </c>
      <c r="R196">
        <v>845</v>
      </c>
      <c r="S196">
        <v>2</v>
      </c>
      <c r="T196">
        <v>423</v>
      </c>
      <c r="U196">
        <v>4.8</v>
      </c>
    </row>
    <row r="197" spans="1:21" x14ac:dyDescent="0.35">
      <c r="A197" t="s">
        <v>175</v>
      </c>
      <c r="B197" t="s">
        <v>29</v>
      </c>
      <c r="C197" s="32">
        <v>44978</v>
      </c>
      <c r="D197" t="s">
        <v>101</v>
      </c>
      <c r="E197" t="s">
        <v>50</v>
      </c>
      <c r="F197" t="s">
        <v>94</v>
      </c>
      <c r="G197" t="s">
        <v>55</v>
      </c>
      <c r="H197" t="s">
        <v>64</v>
      </c>
      <c r="I197" t="s">
        <v>70</v>
      </c>
      <c r="J197" t="s">
        <v>95</v>
      </c>
      <c r="K197">
        <v>9</v>
      </c>
      <c r="L197">
        <v>4895</v>
      </c>
      <c r="M197">
        <v>44055</v>
      </c>
      <c r="N197">
        <v>10</v>
      </c>
      <c r="O197">
        <v>4406</v>
      </c>
      <c r="P197">
        <v>39649</v>
      </c>
      <c r="Q197">
        <v>21875</v>
      </c>
      <c r="R197">
        <v>17774</v>
      </c>
      <c r="S197">
        <v>1</v>
      </c>
      <c r="T197">
        <v>4406</v>
      </c>
      <c r="U197">
        <v>3.7</v>
      </c>
    </row>
    <row r="198" spans="1:21" x14ac:dyDescent="0.35">
      <c r="A198" t="s">
        <v>177</v>
      </c>
      <c r="B198" t="s">
        <v>29</v>
      </c>
      <c r="C198" s="32">
        <v>44978</v>
      </c>
      <c r="D198" t="s">
        <v>105</v>
      </c>
      <c r="E198" t="s">
        <v>56</v>
      </c>
      <c r="F198" t="s">
        <v>106</v>
      </c>
      <c r="G198" t="s">
        <v>57</v>
      </c>
      <c r="H198" t="s">
        <v>68</v>
      </c>
      <c r="I198" t="s">
        <v>70</v>
      </c>
      <c r="J198" t="s">
        <v>95</v>
      </c>
      <c r="K198">
        <v>9</v>
      </c>
      <c r="L198">
        <v>3386</v>
      </c>
      <c r="M198">
        <v>30474</v>
      </c>
      <c r="N198">
        <v>10</v>
      </c>
      <c r="O198">
        <v>3047</v>
      </c>
      <c r="P198">
        <v>27427</v>
      </c>
      <c r="Q198">
        <v>16171</v>
      </c>
      <c r="R198">
        <v>11256</v>
      </c>
      <c r="S198">
        <v>2</v>
      </c>
      <c r="T198">
        <v>6095</v>
      </c>
      <c r="U198">
        <v>3.5</v>
      </c>
    </row>
    <row r="199" spans="1:21" x14ac:dyDescent="0.35">
      <c r="A199" t="s">
        <v>201</v>
      </c>
      <c r="B199" t="s">
        <v>30</v>
      </c>
      <c r="C199" s="32">
        <v>44994</v>
      </c>
      <c r="D199" t="s">
        <v>101</v>
      </c>
      <c r="E199" t="s">
        <v>48</v>
      </c>
      <c r="F199" t="s">
        <v>116</v>
      </c>
      <c r="G199" t="s">
        <v>51</v>
      </c>
      <c r="H199" t="s">
        <v>64</v>
      </c>
      <c r="I199" t="s">
        <v>70</v>
      </c>
      <c r="J199" t="s">
        <v>103</v>
      </c>
      <c r="K199">
        <v>13</v>
      </c>
      <c r="L199">
        <v>3235</v>
      </c>
      <c r="M199">
        <v>42055</v>
      </c>
      <c r="N199">
        <v>10</v>
      </c>
      <c r="O199">
        <v>4206</v>
      </c>
      <c r="P199">
        <v>37849</v>
      </c>
      <c r="Q199">
        <v>23856</v>
      </c>
      <c r="R199">
        <v>13993</v>
      </c>
      <c r="S199">
        <v>0</v>
      </c>
      <c r="T199">
        <v>0</v>
      </c>
      <c r="U199">
        <v>3.5</v>
      </c>
    </row>
    <row r="200" spans="1:21" x14ac:dyDescent="0.35">
      <c r="A200" t="s">
        <v>206</v>
      </c>
      <c r="B200" t="s">
        <v>30</v>
      </c>
      <c r="C200" s="32">
        <v>45001</v>
      </c>
      <c r="D200" t="s">
        <v>115</v>
      </c>
      <c r="E200" t="s">
        <v>58</v>
      </c>
      <c r="F200" t="s">
        <v>111</v>
      </c>
      <c r="G200" t="s">
        <v>55</v>
      </c>
      <c r="H200" t="s">
        <v>64</v>
      </c>
      <c r="I200" t="s">
        <v>70</v>
      </c>
      <c r="J200" t="s">
        <v>99</v>
      </c>
      <c r="K200">
        <v>8</v>
      </c>
      <c r="L200">
        <v>931</v>
      </c>
      <c r="M200">
        <v>7448</v>
      </c>
      <c r="N200">
        <v>50</v>
      </c>
      <c r="O200">
        <v>3724</v>
      </c>
      <c r="P200">
        <v>3724</v>
      </c>
      <c r="Q200">
        <v>2173</v>
      </c>
      <c r="R200">
        <v>1551</v>
      </c>
      <c r="S200">
        <v>1</v>
      </c>
      <c r="T200">
        <v>466</v>
      </c>
      <c r="U200">
        <v>4.5</v>
      </c>
    </row>
    <row r="201" spans="1:21" x14ac:dyDescent="0.35">
      <c r="A201" t="s">
        <v>211</v>
      </c>
      <c r="B201" t="s">
        <v>30</v>
      </c>
      <c r="C201" s="32">
        <v>45007</v>
      </c>
      <c r="D201" t="s">
        <v>142</v>
      </c>
      <c r="E201" t="s">
        <v>50</v>
      </c>
      <c r="F201" t="s">
        <v>151</v>
      </c>
      <c r="G201" t="s">
        <v>53</v>
      </c>
      <c r="H201" t="s">
        <v>66</v>
      </c>
      <c r="I201" t="s">
        <v>70</v>
      </c>
      <c r="J201" t="s">
        <v>103</v>
      </c>
      <c r="K201">
        <v>15</v>
      </c>
      <c r="L201">
        <v>799</v>
      </c>
      <c r="M201">
        <v>11985</v>
      </c>
      <c r="N201">
        <v>20</v>
      </c>
      <c r="O201">
        <v>2397</v>
      </c>
      <c r="P201">
        <v>9588</v>
      </c>
      <c r="Q201">
        <v>6332</v>
      </c>
      <c r="R201">
        <v>3256</v>
      </c>
      <c r="S201">
        <v>1</v>
      </c>
      <c r="T201">
        <v>639</v>
      </c>
      <c r="U201">
        <v>2.9</v>
      </c>
    </row>
    <row r="202" spans="1:21" x14ac:dyDescent="0.35">
      <c r="A202" t="s">
        <v>212</v>
      </c>
      <c r="B202" t="s">
        <v>30</v>
      </c>
      <c r="C202" s="32">
        <v>45008</v>
      </c>
      <c r="D202" t="s">
        <v>122</v>
      </c>
      <c r="E202" t="s">
        <v>56</v>
      </c>
      <c r="F202" t="s">
        <v>116</v>
      </c>
      <c r="G202" t="s">
        <v>53</v>
      </c>
      <c r="H202" t="s">
        <v>68</v>
      </c>
      <c r="I202" t="s">
        <v>70</v>
      </c>
      <c r="J202" t="s">
        <v>95</v>
      </c>
      <c r="K202">
        <v>13</v>
      </c>
      <c r="L202">
        <v>1881</v>
      </c>
      <c r="M202">
        <v>24453</v>
      </c>
      <c r="N202">
        <v>5</v>
      </c>
      <c r="O202">
        <v>1223</v>
      </c>
      <c r="P202">
        <v>23230</v>
      </c>
      <c r="Q202">
        <v>12660</v>
      </c>
      <c r="R202">
        <v>10570</v>
      </c>
      <c r="S202">
        <v>2</v>
      </c>
      <c r="T202">
        <v>3574</v>
      </c>
      <c r="U202">
        <v>4.5999999999999996</v>
      </c>
    </row>
    <row r="203" spans="1:21" x14ac:dyDescent="0.35">
      <c r="A203" t="s">
        <v>230</v>
      </c>
      <c r="B203" t="s">
        <v>31</v>
      </c>
      <c r="C203" s="32">
        <v>45021</v>
      </c>
      <c r="D203" t="s">
        <v>113</v>
      </c>
      <c r="E203" t="s">
        <v>58</v>
      </c>
      <c r="F203" t="s">
        <v>116</v>
      </c>
      <c r="G203" t="s">
        <v>55</v>
      </c>
      <c r="H203" t="s">
        <v>68</v>
      </c>
      <c r="I203" t="s">
        <v>70</v>
      </c>
      <c r="J203" t="s">
        <v>95</v>
      </c>
      <c r="K203">
        <v>4</v>
      </c>
      <c r="L203">
        <v>1362</v>
      </c>
      <c r="M203">
        <v>5448</v>
      </c>
      <c r="N203">
        <v>30</v>
      </c>
      <c r="O203">
        <v>1634</v>
      </c>
      <c r="P203">
        <v>3814</v>
      </c>
      <c r="Q203">
        <v>2445</v>
      </c>
      <c r="R203">
        <v>1369</v>
      </c>
      <c r="S203">
        <v>0</v>
      </c>
      <c r="T203">
        <v>0</v>
      </c>
      <c r="U203">
        <v>4.8</v>
      </c>
    </row>
    <row r="204" spans="1:21" x14ac:dyDescent="0.35">
      <c r="A204" t="s">
        <v>232</v>
      </c>
      <c r="B204" t="s">
        <v>31</v>
      </c>
      <c r="C204" s="32">
        <v>45023</v>
      </c>
      <c r="D204" t="s">
        <v>142</v>
      </c>
      <c r="E204" t="s">
        <v>56</v>
      </c>
      <c r="F204" t="s">
        <v>106</v>
      </c>
      <c r="G204" t="s">
        <v>57</v>
      </c>
      <c r="H204" t="s">
        <v>68</v>
      </c>
      <c r="I204" t="s">
        <v>70</v>
      </c>
      <c r="J204" t="s">
        <v>99</v>
      </c>
      <c r="K204">
        <v>1</v>
      </c>
      <c r="L204">
        <v>1794</v>
      </c>
      <c r="M204">
        <v>1794</v>
      </c>
      <c r="N204">
        <v>40</v>
      </c>
      <c r="O204">
        <v>718</v>
      </c>
      <c r="P204">
        <v>1076</v>
      </c>
      <c r="Q204">
        <v>674</v>
      </c>
      <c r="R204">
        <v>402</v>
      </c>
      <c r="S204">
        <v>1</v>
      </c>
      <c r="T204">
        <v>1076</v>
      </c>
      <c r="U204">
        <v>3.5</v>
      </c>
    </row>
    <row r="205" spans="1:21" x14ac:dyDescent="0.35">
      <c r="A205" t="s">
        <v>236</v>
      </c>
      <c r="B205" t="s">
        <v>31</v>
      </c>
      <c r="C205" s="32">
        <v>45026</v>
      </c>
      <c r="D205" t="s">
        <v>93</v>
      </c>
      <c r="E205" t="s">
        <v>56</v>
      </c>
      <c r="F205" t="s">
        <v>116</v>
      </c>
      <c r="G205" t="s">
        <v>55</v>
      </c>
      <c r="H205" t="s">
        <v>68</v>
      </c>
      <c r="I205" t="s">
        <v>70</v>
      </c>
      <c r="J205" t="s">
        <v>95</v>
      </c>
      <c r="K205">
        <v>11</v>
      </c>
      <c r="L205">
        <v>3531</v>
      </c>
      <c r="M205">
        <v>38841</v>
      </c>
      <c r="N205">
        <v>5</v>
      </c>
      <c r="O205">
        <v>1942</v>
      </c>
      <c r="P205">
        <v>36899</v>
      </c>
      <c r="Q205">
        <v>23785</v>
      </c>
      <c r="R205">
        <v>13114</v>
      </c>
      <c r="S205">
        <v>0</v>
      </c>
      <c r="T205">
        <v>0</v>
      </c>
      <c r="U205">
        <v>2.9</v>
      </c>
    </row>
    <row r="206" spans="1:21" x14ac:dyDescent="0.35">
      <c r="A206" t="s">
        <v>240</v>
      </c>
      <c r="B206" t="s">
        <v>31</v>
      </c>
      <c r="C206" s="32">
        <v>45028</v>
      </c>
      <c r="D206" t="s">
        <v>120</v>
      </c>
      <c r="E206" t="s">
        <v>50</v>
      </c>
      <c r="F206" t="s">
        <v>98</v>
      </c>
      <c r="G206" t="s">
        <v>57</v>
      </c>
      <c r="H206" t="s">
        <v>66</v>
      </c>
      <c r="I206" t="s">
        <v>70</v>
      </c>
      <c r="J206" t="s">
        <v>99</v>
      </c>
      <c r="K206">
        <v>7</v>
      </c>
      <c r="L206">
        <v>3502</v>
      </c>
      <c r="M206">
        <v>24514</v>
      </c>
      <c r="N206">
        <v>20</v>
      </c>
      <c r="O206">
        <v>4903</v>
      </c>
      <c r="P206">
        <v>19611</v>
      </c>
      <c r="Q206">
        <v>13415</v>
      </c>
      <c r="R206">
        <v>6196</v>
      </c>
      <c r="S206">
        <v>0</v>
      </c>
      <c r="T206">
        <v>0</v>
      </c>
      <c r="U206">
        <v>4.0999999999999996</v>
      </c>
    </row>
    <row r="207" spans="1:21" x14ac:dyDescent="0.35">
      <c r="A207" t="s">
        <v>250</v>
      </c>
      <c r="B207" t="s">
        <v>31</v>
      </c>
      <c r="C207" s="32">
        <v>45036</v>
      </c>
      <c r="D207" t="s">
        <v>142</v>
      </c>
      <c r="E207" t="s">
        <v>58</v>
      </c>
      <c r="F207" t="s">
        <v>106</v>
      </c>
      <c r="G207" t="s">
        <v>51</v>
      </c>
      <c r="H207" t="s">
        <v>66</v>
      </c>
      <c r="I207" t="s">
        <v>70</v>
      </c>
      <c r="J207" t="s">
        <v>99</v>
      </c>
      <c r="K207">
        <v>11</v>
      </c>
      <c r="L207">
        <v>2224</v>
      </c>
      <c r="M207">
        <v>24464</v>
      </c>
      <c r="N207">
        <v>0</v>
      </c>
      <c r="O207">
        <v>0</v>
      </c>
      <c r="P207">
        <v>24464</v>
      </c>
      <c r="Q207">
        <v>16297</v>
      </c>
      <c r="R207">
        <v>8167</v>
      </c>
      <c r="S207">
        <v>2</v>
      </c>
      <c r="T207">
        <v>4448</v>
      </c>
      <c r="U207">
        <v>2.5</v>
      </c>
    </row>
    <row r="208" spans="1:21" x14ac:dyDescent="0.35">
      <c r="A208" t="s">
        <v>252</v>
      </c>
      <c r="B208" t="s">
        <v>31</v>
      </c>
      <c r="C208" s="32">
        <v>45037</v>
      </c>
      <c r="D208" t="s">
        <v>122</v>
      </c>
      <c r="E208" t="s">
        <v>50</v>
      </c>
      <c r="F208" t="s">
        <v>116</v>
      </c>
      <c r="G208" t="s">
        <v>55</v>
      </c>
      <c r="H208" t="s">
        <v>68</v>
      </c>
      <c r="I208" t="s">
        <v>70</v>
      </c>
      <c r="J208" t="s">
        <v>99</v>
      </c>
      <c r="K208">
        <v>5</v>
      </c>
      <c r="L208">
        <v>3691</v>
      </c>
      <c r="M208">
        <v>18455</v>
      </c>
      <c r="N208">
        <v>5</v>
      </c>
      <c r="O208">
        <v>923</v>
      </c>
      <c r="P208">
        <v>17532</v>
      </c>
      <c r="Q208">
        <v>11761</v>
      </c>
      <c r="R208">
        <v>5771</v>
      </c>
      <c r="S208">
        <v>0</v>
      </c>
      <c r="T208">
        <v>0</v>
      </c>
      <c r="U208">
        <v>2.9</v>
      </c>
    </row>
    <row r="209" spans="1:21" x14ac:dyDescent="0.35">
      <c r="A209" t="s">
        <v>255</v>
      </c>
      <c r="B209" t="s">
        <v>31</v>
      </c>
      <c r="C209" s="32">
        <v>45040</v>
      </c>
      <c r="D209" t="s">
        <v>120</v>
      </c>
      <c r="E209" t="s">
        <v>56</v>
      </c>
      <c r="F209" t="s">
        <v>106</v>
      </c>
      <c r="G209" t="s">
        <v>51</v>
      </c>
      <c r="H209" t="s">
        <v>64</v>
      </c>
      <c r="I209" t="s">
        <v>70</v>
      </c>
      <c r="J209" t="s">
        <v>99</v>
      </c>
      <c r="K209">
        <v>14</v>
      </c>
      <c r="L209">
        <v>3199</v>
      </c>
      <c r="M209">
        <v>44786</v>
      </c>
      <c r="N209">
        <v>25</v>
      </c>
      <c r="O209">
        <v>11196</v>
      </c>
      <c r="P209">
        <v>33590</v>
      </c>
      <c r="Q209">
        <v>22394</v>
      </c>
      <c r="R209">
        <v>11196</v>
      </c>
      <c r="S209">
        <v>1</v>
      </c>
      <c r="T209">
        <v>2399</v>
      </c>
      <c r="U209">
        <v>3.6</v>
      </c>
    </row>
    <row r="210" spans="1:21" x14ac:dyDescent="0.35">
      <c r="A210" t="s">
        <v>261</v>
      </c>
      <c r="B210" t="s">
        <v>31</v>
      </c>
      <c r="C210" s="32">
        <v>45044</v>
      </c>
      <c r="D210" t="s">
        <v>97</v>
      </c>
      <c r="E210" t="s">
        <v>48</v>
      </c>
      <c r="F210" t="s">
        <v>94</v>
      </c>
      <c r="G210" t="s">
        <v>51</v>
      </c>
      <c r="H210" t="s">
        <v>66</v>
      </c>
      <c r="I210" t="s">
        <v>70</v>
      </c>
      <c r="J210" t="s">
        <v>103</v>
      </c>
      <c r="K210">
        <v>5</v>
      </c>
      <c r="L210">
        <v>3484</v>
      </c>
      <c r="M210">
        <v>17420</v>
      </c>
      <c r="N210">
        <v>10</v>
      </c>
      <c r="O210">
        <v>1742</v>
      </c>
      <c r="P210">
        <v>15678</v>
      </c>
      <c r="Q210">
        <v>9518</v>
      </c>
      <c r="R210">
        <v>6160</v>
      </c>
      <c r="S210">
        <v>0</v>
      </c>
      <c r="T210">
        <v>0</v>
      </c>
      <c r="U210">
        <v>3.3</v>
      </c>
    </row>
    <row r="211" spans="1:21" x14ac:dyDescent="0.35">
      <c r="A211" t="s">
        <v>265</v>
      </c>
      <c r="B211" t="s">
        <v>32</v>
      </c>
      <c r="C211" s="32">
        <v>45047</v>
      </c>
      <c r="D211" t="s">
        <v>122</v>
      </c>
      <c r="E211" t="s">
        <v>59</v>
      </c>
      <c r="F211" t="s">
        <v>111</v>
      </c>
      <c r="G211" t="s">
        <v>53</v>
      </c>
      <c r="H211" t="s">
        <v>64</v>
      </c>
      <c r="I211" t="s">
        <v>70</v>
      </c>
      <c r="J211" t="s">
        <v>103</v>
      </c>
      <c r="K211">
        <v>3</v>
      </c>
      <c r="L211">
        <v>3872</v>
      </c>
      <c r="M211">
        <v>11616</v>
      </c>
      <c r="N211">
        <v>5</v>
      </c>
      <c r="O211">
        <v>581</v>
      </c>
      <c r="P211">
        <v>11035</v>
      </c>
      <c r="Q211">
        <v>5454</v>
      </c>
      <c r="R211">
        <v>5581</v>
      </c>
      <c r="S211">
        <v>1</v>
      </c>
      <c r="T211">
        <v>3678</v>
      </c>
      <c r="U211">
        <v>3.7</v>
      </c>
    </row>
    <row r="212" spans="1:21" x14ac:dyDescent="0.35">
      <c r="A212" t="s">
        <v>266</v>
      </c>
      <c r="B212" t="s">
        <v>32</v>
      </c>
      <c r="C212" s="32">
        <v>45047</v>
      </c>
      <c r="D212" t="s">
        <v>105</v>
      </c>
      <c r="E212" t="s">
        <v>56</v>
      </c>
      <c r="F212" t="s">
        <v>106</v>
      </c>
      <c r="G212" t="s">
        <v>53</v>
      </c>
      <c r="H212" t="s">
        <v>64</v>
      </c>
      <c r="I212" t="s">
        <v>70</v>
      </c>
      <c r="J212" t="s">
        <v>95</v>
      </c>
      <c r="K212">
        <v>14</v>
      </c>
      <c r="L212">
        <v>1473</v>
      </c>
      <c r="M212">
        <v>20622</v>
      </c>
      <c r="N212">
        <v>25</v>
      </c>
      <c r="O212">
        <v>5156</v>
      </c>
      <c r="P212">
        <v>15466</v>
      </c>
      <c r="Q212">
        <v>7563</v>
      </c>
      <c r="R212">
        <v>7903</v>
      </c>
      <c r="S212">
        <v>0</v>
      </c>
      <c r="T212">
        <v>0</v>
      </c>
      <c r="U212">
        <v>2.8</v>
      </c>
    </row>
    <row r="213" spans="1:21" x14ac:dyDescent="0.35">
      <c r="A213" t="s">
        <v>273</v>
      </c>
      <c r="B213" t="s">
        <v>32</v>
      </c>
      <c r="C213" s="32">
        <v>45051</v>
      </c>
      <c r="D213" t="s">
        <v>131</v>
      </c>
      <c r="E213" t="s">
        <v>56</v>
      </c>
      <c r="F213" t="s">
        <v>134</v>
      </c>
      <c r="G213" t="s">
        <v>51</v>
      </c>
      <c r="H213" t="s">
        <v>68</v>
      </c>
      <c r="I213" t="s">
        <v>70</v>
      </c>
      <c r="J213" t="s">
        <v>103</v>
      </c>
      <c r="K213">
        <v>6</v>
      </c>
      <c r="L213">
        <v>3944</v>
      </c>
      <c r="M213">
        <v>23664</v>
      </c>
      <c r="N213">
        <v>30</v>
      </c>
      <c r="O213">
        <v>7099</v>
      </c>
      <c r="P213">
        <v>16565</v>
      </c>
      <c r="Q213">
        <v>9385</v>
      </c>
      <c r="R213">
        <v>7180</v>
      </c>
      <c r="S213">
        <v>1</v>
      </c>
      <c r="T213">
        <v>2761</v>
      </c>
      <c r="U213">
        <v>3.3</v>
      </c>
    </row>
    <row r="214" spans="1:21" x14ac:dyDescent="0.35">
      <c r="A214" t="s">
        <v>274</v>
      </c>
      <c r="B214" t="s">
        <v>32</v>
      </c>
      <c r="C214" s="32">
        <v>45051</v>
      </c>
      <c r="D214" t="s">
        <v>93</v>
      </c>
      <c r="E214" t="s">
        <v>59</v>
      </c>
      <c r="F214" t="s">
        <v>111</v>
      </c>
      <c r="G214" t="s">
        <v>57</v>
      </c>
      <c r="H214" t="s">
        <v>66</v>
      </c>
      <c r="I214" t="s">
        <v>70</v>
      </c>
      <c r="J214" t="s">
        <v>95</v>
      </c>
      <c r="K214">
        <v>11</v>
      </c>
      <c r="L214">
        <v>2708</v>
      </c>
      <c r="M214">
        <v>29788</v>
      </c>
      <c r="N214">
        <v>10</v>
      </c>
      <c r="O214">
        <v>2979</v>
      </c>
      <c r="P214">
        <v>26809</v>
      </c>
      <c r="Q214">
        <v>12439</v>
      </c>
      <c r="R214">
        <v>14370</v>
      </c>
      <c r="S214">
        <v>1</v>
      </c>
      <c r="T214">
        <v>2437</v>
      </c>
      <c r="U214">
        <v>4.8</v>
      </c>
    </row>
    <row r="215" spans="1:21" x14ac:dyDescent="0.35">
      <c r="A215" t="s">
        <v>276</v>
      </c>
      <c r="B215" t="s">
        <v>32</v>
      </c>
      <c r="C215" s="32">
        <v>45054</v>
      </c>
      <c r="D215" t="s">
        <v>93</v>
      </c>
      <c r="E215" t="s">
        <v>52</v>
      </c>
      <c r="F215" t="s">
        <v>106</v>
      </c>
      <c r="G215" t="s">
        <v>57</v>
      </c>
      <c r="H215" t="s">
        <v>68</v>
      </c>
      <c r="I215" t="s">
        <v>70</v>
      </c>
      <c r="J215" t="s">
        <v>99</v>
      </c>
      <c r="K215">
        <v>3</v>
      </c>
      <c r="L215">
        <v>1608</v>
      </c>
      <c r="M215">
        <v>4824</v>
      </c>
      <c r="N215">
        <v>15</v>
      </c>
      <c r="O215">
        <v>724</v>
      </c>
      <c r="P215">
        <v>4100</v>
      </c>
      <c r="Q215">
        <v>2741</v>
      </c>
      <c r="R215">
        <v>1359</v>
      </c>
      <c r="S215">
        <v>0</v>
      </c>
      <c r="T215">
        <v>0</v>
      </c>
      <c r="U215">
        <v>3.6</v>
      </c>
    </row>
    <row r="216" spans="1:21" x14ac:dyDescent="0.35">
      <c r="A216" t="s">
        <v>284</v>
      </c>
      <c r="B216" t="s">
        <v>32</v>
      </c>
      <c r="C216" s="32">
        <v>45058</v>
      </c>
      <c r="D216" t="s">
        <v>93</v>
      </c>
      <c r="E216" t="s">
        <v>58</v>
      </c>
      <c r="F216" t="s">
        <v>124</v>
      </c>
      <c r="G216" t="s">
        <v>55</v>
      </c>
      <c r="H216" t="s">
        <v>68</v>
      </c>
      <c r="I216" t="s">
        <v>70</v>
      </c>
      <c r="J216" t="s">
        <v>103</v>
      </c>
      <c r="K216">
        <v>13</v>
      </c>
      <c r="L216">
        <v>1954</v>
      </c>
      <c r="M216">
        <v>25402</v>
      </c>
      <c r="N216">
        <v>10</v>
      </c>
      <c r="O216">
        <v>2540</v>
      </c>
      <c r="P216">
        <v>22862</v>
      </c>
      <c r="Q216">
        <v>14405</v>
      </c>
      <c r="R216">
        <v>8457</v>
      </c>
      <c r="S216">
        <v>3</v>
      </c>
      <c r="T216">
        <v>5276</v>
      </c>
      <c r="U216">
        <v>3</v>
      </c>
    </row>
    <row r="217" spans="1:21" x14ac:dyDescent="0.35">
      <c r="A217" t="s">
        <v>294</v>
      </c>
      <c r="B217" t="s">
        <v>32</v>
      </c>
      <c r="C217" s="32">
        <v>45064</v>
      </c>
      <c r="D217" t="s">
        <v>120</v>
      </c>
      <c r="E217" t="s">
        <v>50</v>
      </c>
      <c r="F217" t="s">
        <v>106</v>
      </c>
      <c r="G217" t="s">
        <v>49</v>
      </c>
      <c r="H217" t="s">
        <v>64</v>
      </c>
      <c r="I217" t="s">
        <v>70</v>
      </c>
      <c r="J217" t="s">
        <v>99</v>
      </c>
      <c r="K217">
        <v>2</v>
      </c>
      <c r="L217">
        <v>3292</v>
      </c>
      <c r="M217">
        <v>6584</v>
      </c>
      <c r="N217">
        <v>40</v>
      </c>
      <c r="O217">
        <v>2634</v>
      </c>
      <c r="P217">
        <v>3950</v>
      </c>
      <c r="Q217">
        <v>2046</v>
      </c>
      <c r="R217">
        <v>1904</v>
      </c>
      <c r="S217">
        <v>1</v>
      </c>
      <c r="T217">
        <v>1975</v>
      </c>
      <c r="U217">
        <v>3</v>
      </c>
    </row>
    <row r="218" spans="1:21" x14ac:dyDescent="0.35">
      <c r="A218" t="s">
        <v>300</v>
      </c>
      <c r="B218" t="s">
        <v>32</v>
      </c>
      <c r="C218" s="32">
        <v>45069</v>
      </c>
      <c r="D218" t="s">
        <v>101</v>
      </c>
      <c r="E218" t="s">
        <v>56</v>
      </c>
      <c r="F218" t="s">
        <v>124</v>
      </c>
      <c r="G218" t="s">
        <v>51</v>
      </c>
      <c r="H218" t="s">
        <v>66</v>
      </c>
      <c r="I218" t="s">
        <v>70</v>
      </c>
      <c r="J218" t="s">
        <v>103</v>
      </c>
      <c r="K218">
        <v>15</v>
      </c>
      <c r="L218">
        <v>4446</v>
      </c>
      <c r="M218">
        <v>66690</v>
      </c>
      <c r="N218">
        <v>40</v>
      </c>
      <c r="O218">
        <v>26676</v>
      </c>
      <c r="P218">
        <v>40014</v>
      </c>
      <c r="Q218">
        <v>20437</v>
      </c>
      <c r="R218">
        <v>19577</v>
      </c>
      <c r="S218">
        <v>3</v>
      </c>
      <c r="T218">
        <v>8003</v>
      </c>
      <c r="U218">
        <v>4.5</v>
      </c>
    </row>
    <row r="219" spans="1:21" x14ac:dyDescent="0.35">
      <c r="A219" t="s">
        <v>307</v>
      </c>
      <c r="B219" t="s">
        <v>32</v>
      </c>
      <c r="C219" s="32">
        <v>45071</v>
      </c>
      <c r="D219" t="s">
        <v>93</v>
      </c>
      <c r="E219" t="s">
        <v>58</v>
      </c>
      <c r="F219" t="s">
        <v>94</v>
      </c>
      <c r="G219" t="s">
        <v>57</v>
      </c>
      <c r="H219" t="s">
        <v>66</v>
      </c>
      <c r="I219" t="s">
        <v>70</v>
      </c>
      <c r="J219" t="s">
        <v>103</v>
      </c>
      <c r="K219">
        <v>2</v>
      </c>
      <c r="L219">
        <v>2206</v>
      </c>
      <c r="M219">
        <v>4412</v>
      </c>
      <c r="N219">
        <v>5</v>
      </c>
      <c r="O219">
        <v>221</v>
      </c>
      <c r="P219">
        <v>4191</v>
      </c>
      <c r="Q219">
        <v>2227</v>
      </c>
      <c r="R219">
        <v>1964</v>
      </c>
      <c r="S219">
        <v>0</v>
      </c>
      <c r="T219">
        <v>0</v>
      </c>
      <c r="U219">
        <v>4.5</v>
      </c>
    </row>
    <row r="220" spans="1:21" x14ac:dyDescent="0.35">
      <c r="A220" t="s">
        <v>309</v>
      </c>
      <c r="B220" t="s">
        <v>32</v>
      </c>
      <c r="C220" s="32">
        <v>45073</v>
      </c>
      <c r="D220" t="s">
        <v>93</v>
      </c>
      <c r="E220" t="s">
        <v>48</v>
      </c>
      <c r="F220" t="s">
        <v>151</v>
      </c>
      <c r="G220" t="s">
        <v>49</v>
      </c>
      <c r="H220" t="s">
        <v>68</v>
      </c>
      <c r="I220" t="s">
        <v>70</v>
      </c>
      <c r="J220" t="s">
        <v>99</v>
      </c>
      <c r="K220">
        <v>12</v>
      </c>
      <c r="L220">
        <v>2018</v>
      </c>
      <c r="M220">
        <v>24216</v>
      </c>
      <c r="N220">
        <v>30</v>
      </c>
      <c r="O220">
        <v>7265</v>
      </c>
      <c r="P220">
        <v>16951</v>
      </c>
      <c r="Q220">
        <v>9179</v>
      </c>
      <c r="R220">
        <v>7772</v>
      </c>
      <c r="S220">
        <v>3</v>
      </c>
      <c r="T220">
        <v>4238</v>
      </c>
      <c r="U220">
        <v>2.6</v>
      </c>
    </row>
    <row r="221" spans="1:21" x14ac:dyDescent="0.35">
      <c r="A221" t="s">
        <v>315</v>
      </c>
      <c r="B221" t="s">
        <v>32</v>
      </c>
      <c r="C221" s="32">
        <v>45077</v>
      </c>
      <c r="D221" t="s">
        <v>142</v>
      </c>
      <c r="E221" t="s">
        <v>50</v>
      </c>
      <c r="F221" t="s">
        <v>111</v>
      </c>
      <c r="G221" t="s">
        <v>49</v>
      </c>
      <c r="H221" t="s">
        <v>64</v>
      </c>
      <c r="I221" t="s">
        <v>70</v>
      </c>
      <c r="J221" t="s">
        <v>103</v>
      </c>
      <c r="K221">
        <v>9</v>
      </c>
      <c r="L221">
        <v>860</v>
      </c>
      <c r="M221">
        <v>7740</v>
      </c>
      <c r="N221">
        <v>0</v>
      </c>
      <c r="O221">
        <v>0</v>
      </c>
      <c r="P221">
        <v>7740</v>
      </c>
      <c r="Q221">
        <v>4312</v>
      </c>
      <c r="R221">
        <v>3428</v>
      </c>
      <c r="S221">
        <v>2</v>
      </c>
      <c r="T221">
        <v>1720</v>
      </c>
      <c r="U221">
        <v>3.2</v>
      </c>
    </row>
    <row r="222" spans="1:21" x14ac:dyDescent="0.35">
      <c r="A222" t="s">
        <v>323</v>
      </c>
      <c r="B222" t="s">
        <v>33</v>
      </c>
      <c r="C222" s="32">
        <v>45085</v>
      </c>
      <c r="D222" t="s">
        <v>142</v>
      </c>
      <c r="E222" t="s">
        <v>56</v>
      </c>
      <c r="F222" t="s">
        <v>94</v>
      </c>
      <c r="G222" t="s">
        <v>51</v>
      </c>
      <c r="H222" t="s">
        <v>68</v>
      </c>
      <c r="I222" t="s">
        <v>70</v>
      </c>
      <c r="J222" t="s">
        <v>95</v>
      </c>
      <c r="K222">
        <v>9</v>
      </c>
      <c r="L222">
        <v>3275</v>
      </c>
      <c r="M222">
        <v>29475</v>
      </c>
      <c r="N222">
        <v>50</v>
      </c>
      <c r="O222">
        <v>14738</v>
      </c>
      <c r="P222">
        <v>14737</v>
      </c>
      <c r="Q222">
        <v>8510</v>
      </c>
      <c r="R222">
        <v>6227</v>
      </c>
      <c r="S222">
        <v>1</v>
      </c>
      <c r="T222">
        <v>1638</v>
      </c>
      <c r="U222">
        <v>3.4</v>
      </c>
    </row>
    <row r="223" spans="1:21" x14ac:dyDescent="0.35">
      <c r="A223" t="s">
        <v>334</v>
      </c>
      <c r="B223" t="s">
        <v>33</v>
      </c>
      <c r="C223" s="32">
        <v>45097</v>
      </c>
      <c r="D223" t="s">
        <v>122</v>
      </c>
      <c r="E223" t="s">
        <v>58</v>
      </c>
      <c r="F223" t="s">
        <v>124</v>
      </c>
      <c r="G223" t="s">
        <v>57</v>
      </c>
      <c r="H223" t="s">
        <v>68</v>
      </c>
      <c r="I223" t="s">
        <v>70</v>
      </c>
      <c r="J223" t="s">
        <v>103</v>
      </c>
      <c r="K223">
        <v>15</v>
      </c>
      <c r="L223">
        <v>2722</v>
      </c>
      <c r="M223">
        <v>40830</v>
      </c>
      <c r="N223">
        <v>25</v>
      </c>
      <c r="O223">
        <v>10208</v>
      </c>
      <c r="P223">
        <v>30622</v>
      </c>
      <c r="Q223">
        <v>20910</v>
      </c>
      <c r="R223">
        <v>9712</v>
      </c>
      <c r="S223">
        <v>2</v>
      </c>
      <c r="T223">
        <v>4083</v>
      </c>
      <c r="U223">
        <v>2.9</v>
      </c>
    </row>
    <row r="224" spans="1:21" x14ac:dyDescent="0.35">
      <c r="A224" t="s">
        <v>335</v>
      </c>
      <c r="B224" t="s">
        <v>33</v>
      </c>
      <c r="C224" s="32">
        <v>45098</v>
      </c>
      <c r="D224" t="s">
        <v>122</v>
      </c>
      <c r="E224" t="s">
        <v>59</v>
      </c>
      <c r="F224" t="s">
        <v>106</v>
      </c>
      <c r="G224" t="s">
        <v>53</v>
      </c>
      <c r="H224" t="s">
        <v>64</v>
      </c>
      <c r="I224" t="s">
        <v>70</v>
      </c>
      <c r="J224" t="s">
        <v>95</v>
      </c>
      <c r="K224">
        <v>1</v>
      </c>
      <c r="L224">
        <v>516</v>
      </c>
      <c r="M224">
        <v>516</v>
      </c>
      <c r="N224">
        <v>40</v>
      </c>
      <c r="O224">
        <v>206</v>
      </c>
      <c r="P224">
        <v>310</v>
      </c>
      <c r="Q224">
        <v>187</v>
      </c>
      <c r="R224">
        <v>123</v>
      </c>
      <c r="S224">
        <v>0</v>
      </c>
      <c r="T224">
        <v>0</v>
      </c>
      <c r="U224">
        <v>3.6</v>
      </c>
    </row>
    <row r="225" spans="1:21" x14ac:dyDescent="0.35">
      <c r="A225" t="s">
        <v>336</v>
      </c>
      <c r="B225" t="s">
        <v>33</v>
      </c>
      <c r="C225" s="32">
        <v>45098</v>
      </c>
      <c r="D225" t="s">
        <v>142</v>
      </c>
      <c r="E225" t="s">
        <v>48</v>
      </c>
      <c r="F225" t="s">
        <v>111</v>
      </c>
      <c r="G225" t="s">
        <v>51</v>
      </c>
      <c r="H225" t="s">
        <v>64</v>
      </c>
      <c r="I225" t="s">
        <v>70</v>
      </c>
      <c r="J225" t="s">
        <v>103</v>
      </c>
      <c r="K225">
        <v>1</v>
      </c>
      <c r="L225">
        <v>2271</v>
      </c>
      <c r="M225">
        <v>2271</v>
      </c>
      <c r="N225">
        <v>20</v>
      </c>
      <c r="O225">
        <v>454</v>
      </c>
      <c r="P225">
        <v>1817</v>
      </c>
      <c r="Q225">
        <v>1149</v>
      </c>
      <c r="R225">
        <v>668</v>
      </c>
      <c r="S225">
        <v>1</v>
      </c>
      <c r="T225">
        <v>1817</v>
      </c>
      <c r="U225">
        <v>3.2</v>
      </c>
    </row>
    <row r="226" spans="1:21" x14ac:dyDescent="0.35">
      <c r="A226" t="s">
        <v>338</v>
      </c>
      <c r="B226" t="s">
        <v>33</v>
      </c>
      <c r="C226" s="32">
        <v>45099</v>
      </c>
      <c r="D226" t="s">
        <v>113</v>
      </c>
      <c r="E226" t="s">
        <v>58</v>
      </c>
      <c r="F226" t="s">
        <v>108</v>
      </c>
      <c r="G226" t="s">
        <v>57</v>
      </c>
      <c r="H226" t="s">
        <v>66</v>
      </c>
      <c r="I226" t="s">
        <v>70</v>
      </c>
      <c r="J226" t="s">
        <v>95</v>
      </c>
      <c r="K226">
        <v>10</v>
      </c>
      <c r="L226">
        <v>4323</v>
      </c>
      <c r="M226">
        <v>43230</v>
      </c>
      <c r="N226">
        <v>30</v>
      </c>
      <c r="O226">
        <v>12969</v>
      </c>
      <c r="P226">
        <v>30261</v>
      </c>
      <c r="Q226">
        <v>19874</v>
      </c>
      <c r="R226">
        <v>10387</v>
      </c>
      <c r="S226">
        <v>2</v>
      </c>
      <c r="T226">
        <v>6052</v>
      </c>
      <c r="U226">
        <v>3.3</v>
      </c>
    </row>
    <row r="227" spans="1:21" x14ac:dyDescent="0.35">
      <c r="A227" t="s">
        <v>349</v>
      </c>
      <c r="B227" t="s">
        <v>34</v>
      </c>
      <c r="C227" s="32">
        <v>45112</v>
      </c>
      <c r="D227" t="s">
        <v>93</v>
      </c>
      <c r="E227" t="s">
        <v>48</v>
      </c>
      <c r="F227" t="s">
        <v>106</v>
      </c>
      <c r="G227" t="s">
        <v>49</v>
      </c>
      <c r="H227" t="s">
        <v>64</v>
      </c>
      <c r="I227" t="s">
        <v>70</v>
      </c>
      <c r="J227" t="s">
        <v>95</v>
      </c>
      <c r="K227">
        <v>13</v>
      </c>
      <c r="L227">
        <v>2621</v>
      </c>
      <c r="M227">
        <v>34073</v>
      </c>
      <c r="N227">
        <v>25</v>
      </c>
      <c r="O227">
        <v>8518</v>
      </c>
      <c r="P227">
        <v>25555</v>
      </c>
      <c r="Q227">
        <v>15039</v>
      </c>
      <c r="R227">
        <v>10516</v>
      </c>
      <c r="S227">
        <v>2</v>
      </c>
      <c r="T227">
        <v>3932</v>
      </c>
      <c r="U227">
        <v>3.7</v>
      </c>
    </row>
    <row r="228" spans="1:21" x14ac:dyDescent="0.35">
      <c r="A228" t="s">
        <v>355</v>
      </c>
      <c r="B228" t="s">
        <v>34</v>
      </c>
      <c r="C228" s="32">
        <v>45116</v>
      </c>
      <c r="D228" t="s">
        <v>142</v>
      </c>
      <c r="E228" t="s">
        <v>54</v>
      </c>
      <c r="F228" t="s">
        <v>124</v>
      </c>
      <c r="G228" t="s">
        <v>49</v>
      </c>
      <c r="H228" t="s">
        <v>66</v>
      </c>
      <c r="I228" t="s">
        <v>70</v>
      </c>
      <c r="J228" t="s">
        <v>103</v>
      </c>
      <c r="K228">
        <v>6</v>
      </c>
      <c r="L228">
        <v>2170</v>
      </c>
      <c r="M228">
        <v>13020</v>
      </c>
      <c r="N228">
        <v>20</v>
      </c>
      <c r="O228">
        <v>2604</v>
      </c>
      <c r="P228">
        <v>10416</v>
      </c>
      <c r="Q228">
        <v>5337</v>
      </c>
      <c r="R228">
        <v>5079</v>
      </c>
      <c r="S228">
        <v>0</v>
      </c>
      <c r="T228">
        <v>0</v>
      </c>
      <c r="U228">
        <v>2.6</v>
      </c>
    </row>
    <row r="229" spans="1:21" x14ac:dyDescent="0.35">
      <c r="A229" t="s">
        <v>356</v>
      </c>
      <c r="B229" t="s">
        <v>34</v>
      </c>
      <c r="C229" s="32">
        <v>45116</v>
      </c>
      <c r="D229" t="s">
        <v>113</v>
      </c>
      <c r="E229" t="s">
        <v>48</v>
      </c>
      <c r="F229" t="s">
        <v>102</v>
      </c>
      <c r="G229" t="s">
        <v>49</v>
      </c>
      <c r="H229" t="s">
        <v>68</v>
      </c>
      <c r="I229" t="s">
        <v>70</v>
      </c>
      <c r="J229" t="s">
        <v>99</v>
      </c>
      <c r="K229">
        <v>2</v>
      </c>
      <c r="L229">
        <v>1556</v>
      </c>
      <c r="M229">
        <v>3112</v>
      </c>
      <c r="N229">
        <v>15</v>
      </c>
      <c r="O229">
        <v>467</v>
      </c>
      <c r="P229">
        <v>2645</v>
      </c>
      <c r="Q229">
        <v>1283</v>
      </c>
      <c r="R229">
        <v>1362</v>
      </c>
      <c r="S229">
        <v>0</v>
      </c>
      <c r="T229">
        <v>0</v>
      </c>
      <c r="U229">
        <v>3.2</v>
      </c>
    </row>
    <row r="230" spans="1:21" x14ac:dyDescent="0.35">
      <c r="A230" t="s">
        <v>357</v>
      </c>
      <c r="B230" t="s">
        <v>34</v>
      </c>
      <c r="C230" s="32">
        <v>45118</v>
      </c>
      <c r="D230" t="s">
        <v>105</v>
      </c>
      <c r="E230" t="s">
        <v>50</v>
      </c>
      <c r="F230" t="s">
        <v>102</v>
      </c>
      <c r="G230" t="s">
        <v>55</v>
      </c>
      <c r="H230" t="s">
        <v>66</v>
      </c>
      <c r="I230" t="s">
        <v>70</v>
      </c>
      <c r="J230" t="s">
        <v>95</v>
      </c>
      <c r="K230">
        <v>11</v>
      </c>
      <c r="L230">
        <v>3846</v>
      </c>
      <c r="M230">
        <v>42306</v>
      </c>
      <c r="N230">
        <v>5</v>
      </c>
      <c r="O230">
        <v>2115</v>
      </c>
      <c r="P230">
        <v>40191</v>
      </c>
      <c r="Q230">
        <v>23366</v>
      </c>
      <c r="R230">
        <v>16825</v>
      </c>
      <c r="S230">
        <v>2</v>
      </c>
      <c r="T230">
        <v>7307</v>
      </c>
      <c r="U230">
        <v>4.3</v>
      </c>
    </row>
    <row r="231" spans="1:21" x14ac:dyDescent="0.35">
      <c r="A231" t="s">
        <v>361</v>
      </c>
      <c r="B231" t="s">
        <v>34</v>
      </c>
      <c r="C231" s="32">
        <v>45122</v>
      </c>
      <c r="D231" t="s">
        <v>115</v>
      </c>
      <c r="E231" t="s">
        <v>58</v>
      </c>
      <c r="F231" t="s">
        <v>151</v>
      </c>
      <c r="G231" t="s">
        <v>55</v>
      </c>
      <c r="H231" t="s">
        <v>64</v>
      </c>
      <c r="I231" t="s">
        <v>70</v>
      </c>
      <c r="J231" t="s">
        <v>99</v>
      </c>
      <c r="K231">
        <v>6</v>
      </c>
      <c r="L231">
        <v>1733</v>
      </c>
      <c r="M231">
        <v>10398</v>
      </c>
      <c r="N231">
        <v>15</v>
      </c>
      <c r="O231">
        <v>1560</v>
      </c>
      <c r="P231">
        <v>8838</v>
      </c>
      <c r="Q231">
        <v>4470</v>
      </c>
      <c r="R231">
        <v>4368</v>
      </c>
      <c r="S231">
        <v>0</v>
      </c>
      <c r="T231">
        <v>0</v>
      </c>
      <c r="U231">
        <v>3.5</v>
      </c>
    </row>
    <row r="232" spans="1:21" x14ac:dyDescent="0.35">
      <c r="A232" t="s">
        <v>364</v>
      </c>
      <c r="B232" t="s">
        <v>34</v>
      </c>
      <c r="C232" s="32">
        <v>45123</v>
      </c>
      <c r="D232" t="s">
        <v>115</v>
      </c>
      <c r="E232" t="s">
        <v>52</v>
      </c>
      <c r="F232" t="s">
        <v>134</v>
      </c>
      <c r="G232" t="s">
        <v>57</v>
      </c>
      <c r="H232" t="s">
        <v>66</v>
      </c>
      <c r="I232" t="s">
        <v>70</v>
      </c>
      <c r="J232" t="s">
        <v>95</v>
      </c>
      <c r="K232">
        <v>5</v>
      </c>
      <c r="L232">
        <v>3931</v>
      </c>
      <c r="M232">
        <v>19655</v>
      </c>
      <c r="N232">
        <v>30</v>
      </c>
      <c r="O232">
        <v>5896</v>
      </c>
      <c r="P232">
        <v>13759</v>
      </c>
      <c r="Q232">
        <v>7361</v>
      </c>
      <c r="R232">
        <v>6398</v>
      </c>
      <c r="S232">
        <v>1</v>
      </c>
      <c r="T232">
        <v>2752</v>
      </c>
      <c r="U232">
        <v>4.5999999999999996</v>
      </c>
    </row>
    <row r="233" spans="1:21" x14ac:dyDescent="0.35">
      <c r="A233" t="s">
        <v>381</v>
      </c>
      <c r="B233" t="s">
        <v>34</v>
      </c>
      <c r="C233" s="32">
        <v>45133</v>
      </c>
      <c r="D233" t="s">
        <v>131</v>
      </c>
      <c r="E233" t="s">
        <v>52</v>
      </c>
      <c r="F233" t="s">
        <v>102</v>
      </c>
      <c r="G233" t="s">
        <v>57</v>
      </c>
      <c r="H233" t="s">
        <v>64</v>
      </c>
      <c r="I233" t="s">
        <v>70</v>
      </c>
      <c r="J233" t="s">
        <v>95</v>
      </c>
      <c r="K233">
        <v>15</v>
      </c>
      <c r="L233">
        <v>4214</v>
      </c>
      <c r="M233">
        <v>63210</v>
      </c>
      <c r="N233">
        <v>0</v>
      </c>
      <c r="O233">
        <v>0</v>
      </c>
      <c r="P233">
        <v>63210</v>
      </c>
      <c r="Q233">
        <v>32387</v>
      </c>
      <c r="R233">
        <v>30823</v>
      </c>
      <c r="S233">
        <v>3</v>
      </c>
      <c r="T233">
        <v>12642</v>
      </c>
      <c r="U233">
        <v>2.6</v>
      </c>
    </row>
    <row r="234" spans="1:21" x14ac:dyDescent="0.35">
      <c r="A234" t="s">
        <v>395</v>
      </c>
      <c r="B234" t="s">
        <v>35</v>
      </c>
      <c r="C234" s="32">
        <v>45146</v>
      </c>
      <c r="D234" t="s">
        <v>131</v>
      </c>
      <c r="E234" t="s">
        <v>56</v>
      </c>
      <c r="F234" t="s">
        <v>98</v>
      </c>
      <c r="G234" t="s">
        <v>49</v>
      </c>
      <c r="H234" t="s">
        <v>64</v>
      </c>
      <c r="I234" t="s">
        <v>70</v>
      </c>
      <c r="J234" t="s">
        <v>99</v>
      </c>
      <c r="K234">
        <v>2</v>
      </c>
      <c r="L234">
        <v>923</v>
      </c>
      <c r="M234">
        <v>1846</v>
      </c>
      <c r="N234">
        <v>15</v>
      </c>
      <c r="O234">
        <v>277</v>
      </c>
      <c r="P234">
        <v>1569</v>
      </c>
      <c r="Q234">
        <v>910</v>
      </c>
      <c r="R234">
        <v>659</v>
      </c>
      <c r="S234">
        <v>1</v>
      </c>
      <c r="T234">
        <v>785</v>
      </c>
      <c r="U234">
        <v>2.5</v>
      </c>
    </row>
    <row r="235" spans="1:21" x14ac:dyDescent="0.35">
      <c r="A235" t="s">
        <v>400</v>
      </c>
      <c r="B235" t="s">
        <v>35</v>
      </c>
      <c r="C235" s="32">
        <v>45148</v>
      </c>
      <c r="D235" t="s">
        <v>115</v>
      </c>
      <c r="E235" t="s">
        <v>48</v>
      </c>
      <c r="F235" t="s">
        <v>151</v>
      </c>
      <c r="G235" t="s">
        <v>49</v>
      </c>
      <c r="H235" t="s">
        <v>66</v>
      </c>
      <c r="I235" t="s">
        <v>70</v>
      </c>
      <c r="J235" t="s">
        <v>99</v>
      </c>
      <c r="K235">
        <v>3</v>
      </c>
      <c r="L235">
        <v>1060</v>
      </c>
      <c r="M235">
        <v>3180</v>
      </c>
      <c r="N235">
        <v>15</v>
      </c>
      <c r="O235">
        <v>477</v>
      </c>
      <c r="P235">
        <v>2703</v>
      </c>
      <c r="Q235">
        <v>1450</v>
      </c>
      <c r="R235">
        <v>1253</v>
      </c>
      <c r="S235">
        <v>1</v>
      </c>
      <c r="T235">
        <v>901</v>
      </c>
      <c r="U235">
        <v>4.5999999999999996</v>
      </c>
    </row>
    <row r="236" spans="1:21" x14ac:dyDescent="0.35">
      <c r="A236" t="s">
        <v>402</v>
      </c>
      <c r="B236" t="s">
        <v>35</v>
      </c>
      <c r="C236" s="32">
        <v>45150</v>
      </c>
      <c r="D236" t="s">
        <v>105</v>
      </c>
      <c r="E236" t="s">
        <v>50</v>
      </c>
      <c r="F236" t="s">
        <v>124</v>
      </c>
      <c r="G236" t="s">
        <v>55</v>
      </c>
      <c r="H236" t="s">
        <v>68</v>
      </c>
      <c r="I236" t="s">
        <v>70</v>
      </c>
      <c r="J236" t="s">
        <v>99</v>
      </c>
      <c r="K236">
        <v>12</v>
      </c>
      <c r="L236">
        <v>2637</v>
      </c>
      <c r="M236">
        <v>31644</v>
      </c>
      <c r="N236">
        <v>50</v>
      </c>
      <c r="O236">
        <v>15822</v>
      </c>
      <c r="P236">
        <v>15822</v>
      </c>
      <c r="Q236">
        <v>8175</v>
      </c>
      <c r="R236">
        <v>7647</v>
      </c>
      <c r="S236">
        <v>0</v>
      </c>
      <c r="T236">
        <v>0</v>
      </c>
      <c r="U236">
        <v>4.3</v>
      </c>
    </row>
    <row r="237" spans="1:21" x14ac:dyDescent="0.35">
      <c r="A237" t="s">
        <v>407</v>
      </c>
      <c r="B237" t="s">
        <v>35</v>
      </c>
      <c r="C237" s="32">
        <v>45153</v>
      </c>
      <c r="D237" t="s">
        <v>122</v>
      </c>
      <c r="E237" t="s">
        <v>48</v>
      </c>
      <c r="F237" t="s">
        <v>111</v>
      </c>
      <c r="G237" t="s">
        <v>55</v>
      </c>
      <c r="H237" t="s">
        <v>64</v>
      </c>
      <c r="I237" t="s">
        <v>70</v>
      </c>
      <c r="J237" t="s">
        <v>95</v>
      </c>
      <c r="K237">
        <v>11</v>
      </c>
      <c r="L237">
        <v>2056</v>
      </c>
      <c r="M237">
        <v>22616</v>
      </c>
      <c r="N237">
        <v>5</v>
      </c>
      <c r="O237">
        <v>1131</v>
      </c>
      <c r="P237">
        <v>21485</v>
      </c>
      <c r="Q237">
        <v>10272</v>
      </c>
      <c r="R237">
        <v>11213</v>
      </c>
      <c r="S237">
        <v>0</v>
      </c>
      <c r="T237">
        <v>0</v>
      </c>
      <c r="U237">
        <v>3.1</v>
      </c>
    </row>
    <row r="238" spans="1:21" x14ac:dyDescent="0.35">
      <c r="A238" t="s">
        <v>410</v>
      </c>
      <c r="B238" t="s">
        <v>35</v>
      </c>
      <c r="C238" s="32">
        <v>45157</v>
      </c>
      <c r="D238" t="s">
        <v>115</v>
      </c>
      <c r="E238" t="s">
        <v>59</v>
      </c>
      <c r="F238" t="s">
        <v>94</v>
      </c>
      <c r="G238" t="s">
        <v>49</v>
      </c>
      <c r="H238" t="s">
        <v>66</v>
      </c>
      <c r="I238" t="s">
        <v>70</v>
      </c>
      <c r="J238" t="s">
        <v>95</v>
      </c>
      <c r="K238">
        <v>4</v>
      </c>
      <c r="L238">
        <v>3625</v>
      </c>
      <c r="M238">
        <v>14500</v>
      </c>
      <c r="N238">
        <v>40</v>
      </c>
      <c r="O238">
        <v>5800</v>
      </c>
      <c r="P238">
        <v>8700</v>
      </c>
      <c r="Q238">
        <v>5055</v>
      </c>
      <c r="R238">
        <v>3645</v>
      </c>
      <c r="S238">
        <v>0</v>
      </c>
      <c r="T238">
        <v>0</v>
      </c>
      <c r="U238">
        <v>3.4</v>
      </c>
    </row>
    <row r="239" spans="1:21" x14ac:dyDescent="0.35">
      <c r="A239" t="s">
        <v>412</v>
      </c>
      <c r="B239" t="s">
        <v>35</v>
      </c>
      <c r="C239" s="32">
        <v>45157</v>
      </c>
      <c r="D239" t="s">
        <v>122</v>
      </c>
      <c r="E239" t="s">
        <v>58</v>
      </c>
      <c r="F239" t="s">
        <v>94</v>
      </c>
      <c r="G239" t="s">
        <v>49</v>
      </c>
      <c r="H239" t="s">
        <v>66</v>
      </c>
      <c r="I239" t="s">
        <v>70</v>
      </c>
      <c r="J239" t="s">
        <v>95</v>
      </c>
      <c r="K239">
        <v>5</v>
      </c>
      <c r="L239">
        <v>2072</v>
      </c>
      <c r="M239">
        <v>10360</v>
      </c>
      <c r="N239">
        <v>0</v>
      </c>
      <c r="O239">
        <v>0</v>
      </c>
      <c r="P239">
        <v>10360</v>
      </c>
      <c r="Q239">
        <v>6925</v>
      </c>
      <c r="R239">
        <v>3435</v>
      </c>
      <c r="S239">
        <v>0</v>
      </c>
      <c r="T239">
        <v>0</v>
      </c>
      <c r="U239">
        <v>4.5</v>
      </c>
    </row>
    <row r="240" spans="1:21" x14ac:dyDescent="0.35">
      <c r="A240" t="s">
        <v>426</v>
      </c>
      <c r="B240" t="s">
        <v>35</v>
      </c>
      <c r="C240" s="32">
        <v>45164</v>
      </c>
      <c r="D240" t="s">
        <v>120</v>
      </c>
      <c r="E240" t="s">
        <v>54</v>
      </c>
      <c r="F240" t="s">
        <v>102</v>
      </c>
      <c r="G240" t="s">
        <v>49</v>
      </c>
      <c r="H240" t="s">
        <v>68</v>
      </c>
      <c r="I240" t="s">
        <v>70</v>
      </c>
      <c r="J240" t="s">
        <v>99</v>
      </c>
      <c r="K240">
        <v>7</v>
      </c>
      <c r="L240">
        <v>626</v>
      </c>
      <c r="M240">
        <v>4382</v>
      </c>
      <c r="N240">
        <v>5</v>
      </c>
      <c r="O240">
        <v>219</v>
      </c>
      <c r="P240">
        <v>4163</v>
      </c>
      <c r="Q240">
        <v>2587</v>
      </c>
      <c r="R240">
        <v>1576</v>
      </c>
      <c r="S240">
        <v>1</v>
      </c>
      <c r="T240">
        <v>595</v>
      </c>
      <c r="U240">
        <v>3.3</v>
      </c>
    </row>
    <row r="241" spans="1:21" x14ac:dyDescent="0.35">
      <c r="A241" t="s">
        <v>430</v>
      </c>
      <c r="B241" t="s">
        <v>35</v>
      </c>
      <c r="C241" s="32">
        <v>45168</v>
      </c>
      <c r="D241" t="s">
        <v>113</v>
      </c>
      <c r="E241" t="s">
        <v>59</v>
      </c>
      <c r="F241" t="s">
        <v>108</v>
      </c>
      <c r="G241" t="s">
        <v>55</v>
      </c>
      <c r="H241" t="s">
        <v>64</v>
      </c>
      <c r="I241" t="s">
        <v>70</v>
      </c>
      <c r="J241" t="s">
        <v>103</v>
      </c>
      <c r="K241">
        <v>12</v>
      </c>
      <c r="L241">
        <v>3335</v>
      </c>
      <c r="M241">
        <v>40020</v>
      </c>
      <c r="N241">
        <v>30</v>
      </c>
      <c r="O241">
        <v>12006</v>
      </c>
      <c r="P241">
        <v>28014</v>
      </c>
      <c r="Q241">
        <v>15229</v>
      </c>
      <c r="R241">
        <v>12785</v>
      </c>
      <c r="S241">
        <v>3</v>
      </c>
      <c r="T241">
        <v>7004</v>
      </c>
      <c r="U241">
        <v>3.6</v>
      </c>
    </row>
    <row r="242" spans="1:21" x14ac:dyDescent="0.35">
      <c r="A242" t="s">
        <v>431</v>
      </c>
      <c r="B242" t="s">
        <v>35</v>
      </c>
      <c r="C242" s="32">
        <v>45168</v>
      </c>
      <c r="D242" t="s">
        <v>142</v>
      </c>
      <c r="E242" t="s">
        <v>48</v>
      </c>
      <c r="F242" t="s">
        <v>151</v>
      </c>
      <c r="G242" t="s">
        <v>51</v>
      </c>
      <c r="H242" t="s">
        <v>66</v>
      </c>
      <c r="I242" t="s">
        <v>70</v>
      </c>
      <c r="J242" t="s">
        <v>95</v>
      </c>
      <c r="K242">
        <v>3</v>
      </c>
      <c r="L242">
        <v>3273</v>
      </c>
      <c r="M242">
        <v>9819</v>
      </c>
      <c r="N242">
        <v>20</v>
      </c>
      <c r="O242">
        <v>1964</v>
      </c>
      <c r="P242">
        <v>7855</v>
      </c>
      <c r="Q242">
        <v>5146</v>
      </c>
      <c r="R242">
        <v>2709</v>
      </c>
      <c r="S242">
        <v>0</v>
      </c>
      <c r="T242">
        <v>0</v>
      </c>
      <c r="U242">
        <v>3.6</v>
      </c>
    </row>
    <row r="243" spans="1:21" x14ac:dyDescent="0.35">
      <c r="A243" t="s">
        <v>432</v>
      </c>
      <c r="B243" t="s">
        <v>35</v>
      </c>
      <c r="C243" s="32">
        <v>45169</v>
      </c>
      <c r="D243" t="s">
        <v>122</v>
      </c>
      <c r="E243" t="s">
        <v>48</v>
      </c>
      <c r="F243" t="s">
        <v>102</v>
      </c>
      <c r="G243" t="s">
        <v>53</v>
      </c>
      <c r="H243" t="s">
        <v>68</v>
      </c>
      <c r="I243" t="s">
        <v>70</v>
      </c>
      <c r="J243" t="s">
        <v>99</v>
      </c>
      <c r="K243">
        <v>12</v>
      </c>
      <c r="L243">
        <v>4204</v>
      </c>
      <c r="M243">
        <v>50448</v>
      </c>
      <c r="N243">
        <v>5</v>
      </c>
      <c r="O243">
        <v>2522</v>
      </c>
      <c r="P243">
        <v>47926</v>
      </c>
      <c r="Q243">
        <v>24982</v>
      </c>
      <c r="R243">
        <v>22944</v>
      </c>
      <c r="S243">
        <v>3</v>
      </c>
      <c r="T243">
        <v>11981</v>
      </c>
      <c r="U243">
        <v>2.6</v>
      </c>
    </row>
    <row r="244" spans="1:21" x14ac:dyDescent="0.35">
      <c r="A244" t="s">
        <v>438</v>
      </c>
      <c r="B244" t="s">
        <v>36</v>
      </c>
      <c r="C244" s="32">
        <v>45174</v>
      </c>
      <c r="D244" t="s">
        <v>113</v>
      </c>
      <c r="E244" t="s">
        <v>56</v>
      </c>
      <c r="F244" t="s">
        <v>151</v>
      </c>
      <c r="G244" t="s">
        <v>55</v>
      </c>
      <c r="H244" t="s">
        <v>66</v>
      </c>
      <c r="I244" t="s">
        <v>70</v>
      </c>
      <c r="J244" t="s">
        <v>103</v>
      </c>
      <c r="K244">
        <v>15</v>
      </c>
      <c r="L244">
        <v>2340</v>
      </c>
      <c r="M244">
        <v>35100</v>
      </c>
      <c r="N244">
        <v>0</v>
      </c>
      <c r="O244">
        <v>0</v>
      </c>
      <c r="P244">
        <v>35100</v>
      </c>
      <c r="Q244">
        <v>16684</v>
      </c>
      <c r="R244">
        <v>18416</v>
      </c>
      <c r="S244">
        <v>1</v>
      </c>
      <c r="T244">
        <v>2340</v>
      </c>
      <c r="U244">
        <v>4.9000000000000004</v>
      </c>
    </row>
    <row r="245" spans="1:21" x14ac:dyDescent="0.35">
      <c r="A245" t="s">
        <v>442</v>
      </c>
      <c r="B245" t="s">
        <v>36</v>
      </c>
      <c r="C245" s="32">
        <v>45176</v>
      </c>
      <c r="D245" t="s">
        <v>115</v>
      </c>
      <c r="E245" t="s">
        <v>54</v>
      </c>
      <c r="F245" t="s">
        <v>94</v>
      </c>
      <c r="G245" t="s">
        <v>51</v>
      </c>
      <c r="H245" t="s">
        <v>66</v>
      </c>
      <c r="I245" t="s">
        <v>70</v>
      </c>
      <c r="J245" t="s">
        <v>95</v>
      </c>
      <c r="K245">
        <v>5</v>
      </c>
      <c r="L245">
        <v>3211</v>
      </c>
      <c r="M245">
        <v>16055</v>
      </c>
      <c r="N245">
        <v>15</v>
      </c>
      <c r="O245">
        <v>2408</v>
      </c>
      <c r="P245">
        <v>13647</v>
      </c>
      <c r="Q245">
        <v>7225</v>
      </c>
      <c r="R245">
        <v>6422</v>
      </c>
      <c r="S245">
        <v>1</v>
      </c>
      <c r="T245">
        <v>2729</v>
      </c>
      <c r="U245">
        <v>3.3</v>
      </c>
    </row>
    <row r="246" spans="1:21" x14ac:dyDescent="0.35">
      <c r="A246" t="s">
        <v>457</v>
      </c>
      <c r="B246" t="s">
        <v>36</v>
      </c>
      <c r="C246" s="32">
        <v>45184</v>
      </c>
      <c r="D246" t="s">
        <v>93</v>
      </c>
      <c r="E246" t="s">
        <v>58</v>
      </c>
      <c r="F246" t="s">
        <v>98</v>
      </c>
      <c r="G246" t="s">
        <v>49</v>
      </c>
      <c r="H246" t="s">
        <v>68</v>
      </c>
      <c r="I246" t="s">
        <v>70</v>
      </c>
      <c r="J246" t="s">
        <v>103</v>
      </c>
      <c r="K246">
        <v>9</v>
      </c>
      <c r="L246">
        <v>4188</v>
      </c>
      <c r="M246">
        <v>37692</v>
      </c>
      <c r="N246">
        <v>30</v>
      </c>
      <c r="O246">
        <v>11308</v>
      </c>
      <c r="P246">
        <v>26384</v>
      </c>
      <c r="Q246">
        <v>15316</v>
      </c>
      <c r="R246">
        <v>11068</v>
      </c>
      <c r="S246">
        <v>1</v>
      </c>
      <c r="T246">
        <v>2932</v>
      </c>
      <c r="U246">
        <v>4.7</v>
      </c>
    </row>
    <row r="247" spans="1:21" x14ac:dyDescent="0.35">
      <c r="A247" t="s">
        <v>458</v>
      </c>
      <c r="B247" t="s">
        <v>36</v>
      </c>
      <c r="C247" s="32">
        <v>45185</v>
      </c>
      <c r="D247" t="s">
        <v>122</v>
      </c>
      <c r="E247" t="s">
        <v>50</v>
      </c>
      <c r="F247" t="s">
        <v>116</v>
      </c>
      <c r="G247" t="s">
        <v>57</v>
      </c>
      <c r="H247" t="s">
        <v>66</v>
      </c>
      <c r="I247" t="s">
        <v>70</v>
      </c>
      <c r="J247" t="s">
        <v>99</v>
      </c>
      <c r="K247">
        <v>7</v>
      </c>
      <c r="L247">
        <v>4828</v>
      </c>
      <c r="M247">
        <v>33796</v>
      </c>
      <c r="N247">
        <v>20</v>
      </c>
      <c r="O247">
        <v>6759</v>
      </c>
      <c r="P247">
        <v>27037</v>
      </c>
      <c r="Q247">
        <v>15228</v>
      </c>
      <c r="R247">
        <v>11809</v>
      </c>
      <c r="S247">
        <v>0</v>
      </c>
      <c r="T247">
        <v>0</v>
      </c>
      <c r="U247">
        <v>2.8</v>
      </c>
    </row>
    <row r="248" spans="1:21" x14ac:dyDescent="0.35">
      <c r="A248" t="s">
        <v>463</v>
      </c>
      <c r="B248" t="s">
        <v>36</v>
      </c>
      <c r="C248" s="32">
        <v>45187</v>
      </c>
      <c r="D248" t="s">
        <v>97</v>
      </c>
      <c r="E248" t="s">
        <v>50</v>
      </c>
      <c r="F248" t="s">
        <v>98</v>
      </c>
      <c r="G248" t="s">
        <v>49</v>
      </c>
      <c r="H248" t="s">
        <v>64</v>
      </c>
      <c r="I248" t="s">
        <v>70</v>
      </c>
      <c r="J248" t="s">
        <v>103</v>
      </c>
      <c r="K248">
        <v>3</v>
      </c>
      <c r="L248">
        <v>4022</v>
      </c>
      <c r="M248">
        <v>12066</v>
      </c>
      <c r="N248">
        <v>30</v>
      </c>
      <c r="O248">
        <v>3620</v>
      </c>
      <c r="P248">
        <v>8446</v>
      </c>
      <c r="Q248">
        <v>5060</v>
      </c>
      <c r="R248">
        <v>3386</v>
      </c>
      <c r="S248">
        <v>1</v>
      </c>
      <c r="T248">
        <v>2815</v>
      </c>
      <c r="U248">
        <v>3.5</v>
      </c>
    </row>
    <row r="249" spans="1:21" x14ac:dyDescent="0.35">
      <c r="A249" t="s">
        <v>465</v>
      </c>
      <c r="B249" t="s">
        <v>36</v>
      </c>
      <c r="C249" s="32">
        <v>45189</v>
      </c>
      <c r="D249" t="s">
        <v>97</v>
      </c>
      <c r="E249" t="s">
        <v>48</v>
      </c>
      <c r="F249" t="s">
        <v>98</v>
      </c>
      <c r="G249" t="s">
        <v>55</v>
      </c>
      <c r="H249" t="s">
        <v>66</v>
      </c>
      <c r="I249" t="s">
        <v>70</v>
      </c>
      <c r="J249" t="s">
        <v>103</v>
      </c>
      <c r="K249">
        <v>1</v>
      </c>
      <c r="L249">
        <v>3717</v>
      </c>
      <c r="M249">
        <v>3717</v>
      </c>
      <c r="N249">
        <v>50</v>
      </c>
      <c r="O249">
        <v>1858</v>
      </c>
      <c r="P249">
        <v>1859</v>
      </c>
      <c r="Q249">
        <v>977</v>
      </c>
      <c r="R249">
        <v>882</v>
      </c>
      <c r="S249">
        <v>0</v>
      </c>
      <c r="T249">
        <v>0</v>
      </c>
      <c r="U249">
        <v>2.7</v>
      </c>
    </row>
    <row r="250" spans="1:21" x14ac:dyDescent="0.35">
      <c r="A250" t="s">
        <v>474</v>
      </c>
      <c r="B250" t="s">
        <v>36</v>
      </c>
      <c r="C250" s="32">
        <v>45196</v>
      </c>
      <c r="D250" t="s">
        <v>142</v>
      </c>
      <c r="E250" t="s">
        <v>50</v>
      </c>
      <c r="F250" t="s">
        <v>151</v>
      </c>
      <c r="G250" t="s">
        <v>53</v>
      </c>
      <c r="H250" t="s">
        <v>66</v>
      </c>
      <c r="I250" t="s">
        <v>70</v>
      </c>
      <c r="J250" t="s">
        <v>95</v>
      </c>
      <c r="K250">
        <v>6</v>
      </c>
      <c r="L250">
        <v>3669</v>
      </c>
      <c r="M250">
        <v>22014</v>
      </c>
      <c r="N250">
        <v>25</v>
      </c>
      <c r="O250">
        <v>5504</v>
      </c>
      <c r="P250">
        <v>16510</v>
      </c>
      <c r="Q250">
        <v>7675</v>
      </c>
      <c r="R250">
        <v>8835</v>
      </c>
      <c r="S250">
        <v>0</v>
      </c>
      <c r="T250">
        <v>0</v>
      </c>
      <c r="U250">
        <v>4</v>
      </c>
    </row>
    <row r="251" spans="1:21" x14ac:dyDescent="0.35">
      <c r="A251" t="s">
        <v>476</v>
      </c>
      <c r="B251" t="s">
        <v>36</v>
      </c>
      <c r="C251" s="32">
        <v>45198</v>
      </c>
      <c r="D251" t="s">
        <v>97</v>
      </c>
      <c r="E251" t="s">
        <v>50</v>
      </c>
      <c r="F251" t="s">
        <v>134</v>
      </c>
      <c r="G251" t="s">
        <v>51</v>
      </c>
      <c r="H251" t="s">
        <v>64</v>
      </c>
      <c r="I251" t="s">
        <v>70</v>
      </c>
      <c r="J251" t="s">
        <v>95</v>
      </c>
      <c r="K251">
        <v>10</v>
      </c>
      <c r="L251">
        <v>4392</v>
      </c>
      <c r="M251">
        <v>43920</v>
      </c>
      <c r="N251">
        <v>15</v>
      </c>
      <c r="O251">
        <v>6588</v>
      </c>
      <c r="P251">
        <v>37332</v>
      </c>
      <c r="Q251">
        <v>21444</v>
      </c>
      <c r="R251">
        <v>15888</v>
      </c>
      <c r="S251">
        <v>2</v>
      </c>
      <c r="T251">
        <v>7466</v>
      </c>
      <c r="U251">
        <v>2.9</v>
      </c>
    </row>
    <row r="252" spans="1:21" x14ac:dyDescent="0.35">
      <c r="A252" t="s">
        <v>477</v>
      </c>
      <c r="B252" t="s">
        <v>36</v>
      </c>
      <c r="C252" s="32">
        <v>45198</v>
      </c>
      <c r="D252" t="s">
        <v>115</v>
      </c>
      <c r="E252" t="s">
        <v>52</v>
      </c>
      <c r="F252" t="s">
        <v>151</v>
      </c>
      <c r="G252" t="s">
        <v>49</v>
      </c>
      <c r="H252" t="s">
        <v>66</v>
      </c>
      <c r="I252" t="s">
        <v>70</v>
      </c>
      <c r="J252" t="s">
        <v>95</v>
      </c>
      <c r="K252">
        <v>12</v>
      </c>
      <c r="L252">
        <v>4421</v>
      </c>
      <c r="M252">
        <v>53052</v>
      </c>
      <c r="N252">
        <v>20</v>
      </c>
      <c r="O252">
        <v>10610</v>
      </c>
      <c r="P252">
        <v>42442</v>
      </c>
      <c r="Q252">
        <v>20467</v>
      </c>
      <c r="R252">
        <v>21975</v>
      </c>
      <c r="S252">
        <v>3</v>
      </c>
      <c r="T252">
        <v>10610</v>
      </c>
      <c r="U252">
        <v>3.8</v>
      </c>
    </row>
    <row r="253" spans="1:21" x14ac:dyDescent="0.35">
      <c r="A253" t="s">
        <v>487</v>
      </c>
      <c r="B253" t="s">
        <v>37</v>
      </c>
      <c r="C253" s="32">
        <v>45204</v>
      </c>
      <c r="D253" t="s">
        <v>131</v>
      </c>
      <c r="E253" t="s">
        <v>58</v>
      </c>
      <c r="F253" t="s">
        <v>151</v>
      </c>
      <c r="G253" t="s">
        <v>55</v>
      </c>
      <c r="H253" t="s">
        <v>66</v>
      </c>
      <c r="I253" t="s">
        <v>70</v>
      </c>
      <c r="J253" t="s">
        <v>99</v>
      </c>
      <c r="K253">
        <v>2</v>
      </c>
      <c r="L253">
        <v>3758</v>
      </c>
      <c r="M253">
        <v>7516</v>
      </c>
      <c r="N253">
        <v>15</v>
      </c>
      <c r="O253">
        <v>1127</v>
      </c>
      <c r="P253">
        <v>6389</v>
      </c>
      <c r="Q253">
        <v>3351</v>
      </c>
      <c r="R253">
        <v>3038</v>
      </c>
      <c r="S253">
        <v>0</v>
      </c>
      <c r="T253">
        <v>0</v>
      </c>
      <c r="U253">
        <v>3.6</v>
      </c>
    </row>
    <row r="254" spans="1:21" x14ac:dyDescent="0.35">
      <c r="A254" t="s">
        <v>503</v>
      </c>
      <c r="B254" t="s">
        <v>37</v>
      </c>
      <c r="C254" s="32">
        <v>45210</v>
      </c>
      <c r="D254" t="s">
        <v>131</v>
      </c>
      <c r="E254" t="s">
        <v>50</v>
      </c>
      <c r="F254" t="s">
        <v>134</v>
      </c>
      <c r="G254" t="s">
        <v>55</v>
      </c>
      <c r="H254" t="s">
        <v>66</v>
      </c>
      <c r="I254" t="s">
        <v>70</v>
      </c>
      <c r="J254" t="s">
        <v>103</v>
      </c>
      <c r="K254">
        <v>10</v>
      </c>
      <c r="L254">
        <v>1115</v>
      </c>
      <c r="M254">
        <v>11150</v>
      </c>
      <c r="N254">
        <v>10</v>
      </c>
      <c r="O254">
        <v>1115</v>
      </c>
      <c r="P254">
        <v>10035</v>
      </c>
      <c r="Q254">
        <v>4776</v>
      </c>
      <c r="R254">
        <v>5259</v>
      </c>
      <c r="S254">
        <v>2</v>
      </c>
      <c r="T254">
        <v>2007</v>
      </c>
      <c r="U254">
        <v>4</v>
      </c>
    </row>
    <row r="255" spans="1:21" x14ac:dyDescent="0.35">
      <c r="A255" t="s">
        <v>507</v>
      </c>
      <c r="B255" t="s">
        <v>37</v>
      </c>
      <c r="C255" s="32">
        <v>45212</v>
      </c>
      <c r="D255" t="s">
        <v>122</v>
      </c>
      <c r="E255" t="s">
        <v>54</v>
      </c>
      <c r="F255" t="s">
        <v>106</v>
      </c>
      <c r="G255" t="s">
        <v>53</v>
      </c>
      <c r="H255" t="s">
        <v>68</v>
      </c>
      <c r="I255" t="s">
        <v>70</v>
      </c>
      <c r="J255" t="s">
        <v>103</v>
      </c>
      <c r="K255">
        <v>12</v>
      </c>
      <c r="L255">
        <v>2597</v>
      </c>
      <c r="M255">
        <v>31164</v>
      </c>
      <c r="N255">
        <v>40</v>
      </c>
      <c r="O255">
        <v>12466</v>
      </c>
      <c r="P255">
        <v>18698</v>
      </c>
      <c r="Q255">
        <v>10045</v>
      </c>
      <c r="R255">
        <v>8653</v>
      </c>
      <c r="S255">
        <v>2</v>
      </c>
      <c r="T255">
        <v>3116</v>
      </c>
      <c r="U255">
        <v>3.2</v>
      </c>
    </row>
    <row r="256" spans="1:21" x14ac:dyDescent="0.35">
      <c r="A256" t="s">
        <v>511</v>
      </c>
      <c r="B256" t="s">
        <v>37</v>
      </c>
      <c r="C256" s="32">
        <v>45215</v>
      </c>
      <c r="D256" t="s">
        <v>101</v>
      </c>
      <c r="E256" t="s">
        <v>59</v>
      </c>
      <c r="F256" t="s">
        <v>151</v>
      </c>
      <c r="G256" t="s">
        <v>57</v>
      </c>
      <c r="H256" t="s">
        <v>66</v>
      </c>
      <c r="I256" t="s">
        <v>70</v>
      </c>
      <c r="J256" t="s">
        <v>103</v>
      </c>
      <c r="K256">
        <v>9</v>
      </c>
      <c r="L256">
        <v>1003</v>
      </c>
      <c r="M256">
        <v>9027</v>
      </c>
      <c r="N256">
        <v>25</v>
      </c>
      <c r="O256">
        <v>2257</v>
      </c>
      <c r="P256">
        <v>6770</v>
      </c>
      <c r="Q256">
        <v>4493</v>
      </c>
      <c r="R256">
        <v>2277</v>
      </c>
      <c r="S256">
        <v>1</v>
      </c>
      <c r="T256">
        <v>752</v>
      </c>
      <c r="U256">
        <v>2.8</v>
      </c>
    </row>
    <row r="257" spans="1:21" x14ac:dyDescent="0.35">
      <c r="A257" t="s">
        <v>512</v>
      </c>
      <c r="B257" t="s">
        <v>37</v>
      </c>
      <c r="C257" s="32">
        <v>45216</v>
      </c>
      <c r="D257" t="s">
        <v>115</v>
      </c>
      <c r="E257" t="s">
        <v>58</v>
      </c>
      <c r="F257" t="s">
        <v>98</v>
      </c>
      <c r="G257" t="s">
        <v>57</v>
      </c>
      <c r="H257" t="s">
        <v>64</v>
      </c>
      <c r="I257" t="s">
        <v>70</v>
      </c>
      <c r="J257" t="s">
        <v>95</v>
      </c>
      <c r="K257">
        <v>15</v>
      </c>
      <c r="L257">
        <v>4379</v>
      </c>
      <c r="M257">
        <v>65685</v>
      </c>
      <c r="N257">
        <v>40</v>
      </c>
      <c r="O257">
        <v>26274</v>
      </c>
      <c r="P257">
        <v>39411</v>
      </c>
      <c r="Q257">
        <v>20406</v>
      </c>
      <c r="R257">
        <v>19005</v>
      </c>
      <c r="S257">
        <v>0</v>
      </c>
      <c r="T257">
        <v>0</v>
      </c>
      <c r="U257">
        <v>4.2</v>
      </c>
    </row>
    <row r="258" spans="1:21" x14ac:dyDescent="0.35">
      <c r="A258" t="s">
        <v>517</v>
      </c>
      <c r="B258" t="s">
        <v>37</v>
      </c>
      <c r="C258" s="32">
        <v>45221</v>
      </c>
      <c r="D258" t="s">
        <v>131</v>
      </c>
      <c r="E258" t="s">
        <v>58</v>
      </c>
      <c r="F258" t="s">
        <v>116</v>
      </c>
      <c r="G258" t="s">
        <v>53</v>
      </c>
      <c r="H258" t="s">
        <v>64</v>
      </c>
      <c r="I258" t="s">
        <v>70</v>
      </c>
      <c r="J258" t="s">
        <v>95</v>
      </c>
      <c r="K258">
        <v>10</v>
      </c>
      <c r="L258">
        <v>1794</v>
      </c>
      <c r="M258">
        <v>17940</v>
      </c>
      <c r="N258">
        <v>25</v>
      </c>
      <c r="O258">
        <v>4485</v>
      </c>
      <c r="P258">
        <v>13455</v>
      </c>
      <c r="Q258">
        <v>9129</v>
      </c>
      <c r="R258">
        <v>4326</v>
      </c>
      <c r="S258">
        <v>0</v>
      </c>
      <c r="T258">
        <v>0</v>
      </c>
      <c r="U258">
        <v>4.3</v>
      </c>
    </row>
    <row r="259" spans="1:21" x14ac:dyDescent="0.35">
      <c r="A259" t="s">
        <v>526</v>
      </c>
      <c r="B259" t="s">
        <v>37</v>
      </c>
      <c r="C259" s="32">
        <v>45227</v>
      </c>
      <c r="D259" t="s">
        <v>97</v>
      </c>
      <c r="E259" t="s">
        <v>59</v>
      </c>
      <c r="F259" t="s">
        <v>108</v>
      </c>
      <c r="G259" t="s">
        <v>57</v>
      </c>
      <c r="H259" t="s">
        <v>64</v>
      </c>
      <c r="I259" t="s">
        <v>70</v>
      </c>
      <c r="J259" t="s">
        <v>99</v>
      </c>
      <c r="K259">
        <v>9</v>
      </c>
      <c r="L259">
        <v>3361</v>
      </c>
      <c r="M259">
        <v>30249</v>
      </c>
      <c r="N259">
        <v>20</v>
      </c>
      <c r="O259">
        <v>6050</v>
      </c>
      <c r="P259">
        <v>24199</v>
      </c>
      <c r="Q259">
        <v>11988</v>
      </c>
      <c r="R259">
        <v>12211</v>
      </c>
      <c r="S259">
        <v>2</v>
      </c>
      <c r="T259">
        <v>5378</v>
      </c>
      <c r="U259">
        <v>3.6</v>
      </c>
    </row>
    <row r="260" spans="1:21" x14ac:dyDescent="0.35">
      <c r="A260" t="s">
        <v>536</v>
      </c>
      <c r="B260" t="s">
        <v>38</v>
      </c>
      <c r="C260" s="32">
        <v>45236</v>
      </c>
      <c r="D260" t="s">
        <v>93</v>
      </c>
      <c r="E260" t="s">
        <v>54</v>
      </c>
      <c r="F260" t="s">
        <v>124</v>
      </c>
      <c r="G260" t="s">
        <v>57</v>
      </c>
      <c r="H260" t="s">
        <v>64</v>
      </c>
      <c r="I260" t="s">
        <v>70</v>
      </c>
      <c r="J260" t="s">
        <v>103</v>
      </c>
      <c r="K260">
        <v>3</v>
      </c>
      <c r="L260">
        <v>3030</v>
      </c>
      <c r="M260">
        <v>9090</v>
      </c>
      <c r="N260">
        <v>15</v>
      </c>
      <c r="O260">
        <v>1364</v>
      </c>
      <c r="P260">
        <v>7726</v>
      </c>
      <c r="Q260">
        <v>5143</v>
      </c>
      <c r="R260">
        <v>2583</v>
      </c>
      <c r="S260">
        <v>1</v>
      </c>
      <c r="T260">
        <v>2576</v>
      </c>
      <c r="U260">
        <v>4.2</v>
      </c>
    </row>
    <row r="261" spans="1:21" x14ac:dyDescent="0.35">
      <c r="A261" t="s">
        <v>539</v>
      </c>
      <c r="B261" t="s">
        <v>38</v>
      </c>
      <c r="C261" s="32">
        <v>45238</v>
      </c>
      <c r="D261" t="s">
        <v>120</v>
      </c>
      <c r="E261" t="s">
        <v>56</v>
      </c>
      <c r="F261" t="s">
        <v>111</v>
      </c>
      <c r="G261" t="s">
        <v>57</v>
      </c>
      <c r="H261" t="s">
        <v>66</v>
      </c>
      <c r="I261" t="s">
        <v>70</v>
      </c>
      <c r="J261" t="s">
        <v>95</v>
      </c>
      <c r="K261">
        <v>8</v>
      </c>
      <c r="L261">
        <v>2082</v>
      </c>
      <c r="M261">
        <v>16656</v>
      </c>
      <c r="N261">
        <v>50</v>
      </c>
      <c r="O261">
        <v>8328</v>
      </c>
      <c r="P261">
        <v>8328</v>
      </c>
      <c r="Q261">
        <v>4205</v>
      </c>
      <c r="R261">
        <v>4123</v>
      </c>
      <c r="S261">
        <v>1</v>
      </c>
      <c r="T261">
        <v>1041</v>
      </c>
      <c r="U261">
        <v>4.5999999999999996</v>
      </c>
    </row>
    <row r="262" spans="1:21" x14ac:dyDescent="0.35">
      <c r="A262" t="s">
        <v>552</v>
      </c>
      <c r="B262" t="s">
        <v>38</v>
      </c>
      <c r="C262" s="32">
        <v>45249</v>
      </c>
      <c r="D262" t="s">
        <v>142</v>
      </c>
      <c r="E262" t="s">
        <v>56</v>
      </c>
      <c r="F262" t="s">
        <v>134</v>
      </c>
      <c r="G262" t="s">
        <v>55</v>
      </c>
      <c r="H262" t="s">
        <v>64</v>
      </c>
      <c r="I262" t="s">
        <v>70</v>
      </c>
      <c r="J262" t="s">
        <v>95</v>
      </c>
      <c r="K262">
        <v>10</v>
      </c>
      <c r="L262">
        <v>4756</v>
      </c>
      <c r="M262">
        <v>47560</v>
      </c>
      <c r="N262">
        <v>5</v>
      </c>
      <c r="O262">
        <v>2378</v>
      </c>
      <c r="P262">
        <v>45182</v>
      </c>
      <c r="Q262">
        <v>22487</v>
      </c>
      <c r="R262">
        <v>22695</v>
      </c>
      <c r="S262">
        <v>1</v>
      </c>
      <c r="T262">
        <v>4518</v>
      </c>
      <c r="U262">
        <v>3.3</v>
      </c>
    </row>
    <row r="263" spans="1:21" x14ac:dyDescent="0.35">
      <c r="A263" t="s">
        <v>553</v>
      </c>
      <c r="B263" t="s">
        <v>38</v>
      </c>
      <c r="C263" s="32">
        <v>45250</v>
      </c>
      <c r="D263" t="s">
        <v>105</v>
      </c>
      <c r="E263" t="s">
        <v>50</v>
      </c>
      <c r="F263" t="s">
        <v>124</v>
      </c>
      <c r="G263" t="s">
        <v>51</v>
      </c>
      <c r="H263" t="s">
        <v>66</v>
      </c>
      <c r="I263" t="s">
        <v>70</v>
      </c>
      <c r="J263" t="s">
        <v>103</v>
      </c>
      <c r="K263">
        <v>5</v>
      </c>
      <c r="L263">
        <v>4902</v>
      </c>
      <c r="M263">
        <v>24510</v>
      </c>
      <c r="N263">
        <v>0</v>
      </c>
      <c r="O263">
        <v>0</v>
      </c>
      <c r="P263">
        <v>24510</v>
      </c>
      <c r="Q263">
        <v>11754</v>
      </c>
      <c r="R263">
        <v>12756</v>
      </c>
      <c r="S263">
        <v>1</v>
      </c>
      <c r="T263">
        <v>4902</v>
      </c>
      <c r="U263">
        <v>4.0999999999999996</v>
      </c>
    </row>
    <row r="264" spans="1:21" x14ac:dyDescent="0.35">
      <c r="A264" t="s">
        <v>558</v>
      </c>
      <c r="B264" t="s">
        <v>38</v>
      </c>
      <c r="C264" s="32">
        <v>45254</v>
      </c>
      <c r="D264" t="s">
        <v>105</v>
      </c>
      <c r="E264" t="s">
        <v>59</v>
      </c>
      <c r="F264" t="s">
        <v>151</v>
      </c>
      <c r="G264" t="s">
        <v>53</v>
      </c>
      <c r="H264" t="s">
        <v>64</v>
      </c>
      <c r="I264" t="s">
        <v>70</v>
      </c>
      <c r="J264" t="s">
        <v>95</v>
      </c>
      <c r="K264">
        <v>12</v>
      </c>
      <c r="L264">
        <v>781</v>
      </c>
      <c r="M264">
        <v>9372</v>
      </c>
      <c r="N264">
        <v>50</v>
      </c>
      <c r="O264">
        <v>4686</v>
      </c>
      <c r="P264">
        <v>4686</v>
      </c>
      <c r="Q264">
        <v>2211</v>
      </c>
      <c r="R264">
        <v>2475</v>
      </c>
      <c r="S264">
        <v>3</v>
      </c>
      <c r="T264">
        <v>1172</v>
      </c>
      <c r="U264">
        <v>2.6</v>
      </c>
    </row>
    <row r="265" spans="1:21" x14ac:dyDescent="0.35">
      <c r="A265" t="s">
        <v>570</v>
      </c>
      <c r="B265" t="s">
        <v>39</v>
      </c>
      <c r="C265" s="32">
        <v>45262</v>
      </c>
      <c r="D265" t="s">
        <v>122</v>
      </c>
      <c r="E265" t="s">
        <v>54</v>
      </c>
      <c r="F265" t="s">
        <v>124</v>
      </c>
      <c r="G265" t="s">
        <v>55</v>
      </c>
      <c r="H265" t="s">
        <v>68</v>
      </c>
      <c r="I265" t="s">
        <v>70</v>
      </c>
      <c r="J265" t="s">
        <v>103</v>
      </c>
      <c r="K265">
        <v>8</v>
      </c>
      <c r="L265">
        <v>4030</v>
      </c>
      <c r="M265">
        <v>32240</v>
      </c>
      <c r="N265">
        <v>10</v>
      </c>
      <c r="O265">
        <v>3224</v>
      </c>
      <c r="P265">
        <v>29016</v>
      </c>
      <c r="Q265">
        <v>17837</v>
      </c>
      <c r="R265">
        <v>11179</v>
      </c>
      <c r="S265">
        <v>1</v>
      </c>
      <c r="T265">
        <v>3627</v>
      </c>
      <c r="U265">
        <v>3.8</v>
      </c>
    </row>
    <row r="266" spans="1:21" x14ac:dyDescent="0.35">
      <c r="A266" t="s">
        <v>573</v>
      </c>
      <c r="B266" t="s">
        <v>39</v>
      </c>
      <c r="C266" s="32">
        <v>45262</v>
      </c>
      <c r="D266" t="s">
        <v>142</v>
      </c>
      <c r="E266" t="s">
        <v>48</v>
      </c>
      <c r="F266" t="s">
        <v>116</v>
      </c>
      <c r="G266" t="s">
        <v>55</v>
      </c>
      <c r="H266" t="s">
        <v>66</v>
      </c>
      <c r="I266" t="s">
        <v>70</v>
      </c>
      <c r="J266" t="s">
        <v>103</v>
      </c>
      <c r="K266">
        <v>11</v>
      </c>
      <c r="L266">
        <v>3066</v>
      </c>
      <c r="M266">
        <v>33726</v>
      </c>
      <c r="N266">
        <v>15</v>
      </c>
      <c r="O266">
        <v>5059</v>
      </c>
      <c r="P266">
        <v>28667</v>
      </c>
      <c r="Q266">
        <v>16627</v>
      </c>
      <c r="R266">
        <v>12040</v>
      </c>
      <c r="S266">
        <v>2</v>
      </c>
      <c r="T266">
        <v>5212</v>
      </c>
      <c r="U266">
        <v>4.2</v>
      </c>
    </row>
    <row r="267" spans="1:21" x14ac:dyDescent="0.35">
      <c r="A267" t="s">
        <v>581</v>
      </c>
      <c r="B267" t="s">
        <v>39</v>
      </c>
      <c r="C267" s="32">
        <v>45266</v>
      </c>
      <c r="D267" t="s">
        <v>105</v>
      </c>
      <c r="E267" t="s">
        <v>48</v>
      </c>
      <c r="F267" t="s">
        <v>108</v>
      </c>
      <c r="G267" t="s">
        <v>57</v>
      </c>
      <c r="H267" t="s">
        <v>66</v>
      </c>
      <c r="I267" t="s">
        <v>70</v>
      </c>
      <c r="J267" t="s">
        <v>99</v>
      </c>
      <c r="K267">
        <v>14</v>
      </c>
      <c r="L267">
        <v>4523</v>
      </c>
      <c r="M267">
        <v>63322</v>
      </c>
      <c r="N267">
        <v>50</v>
      </c>
      <c r="O267">
        <v>31661</v>
      </c>
      <c r="P267">
        <v>31661</v>
      </c>
      <c r="Q267">
        <v>19937</v>
      </c>
      <c r="R267">
        <v>11724</v>
      </c>
      <c r="S267">
        <v>0</v>
      </c>
      <c r="T267">
        <v>0</v>
      </c>
      <c r="U267">
        <v>3.2</v>
      </c>
    </row>
    <row r="268" spans="1:21" x14ac:dyDescent="0.35">
      <c r="A268" t="s">
        <v>588</v>
      </c>
      <c r="B268" t="s">
        <v>39</v>
      </c>
      <c r="C268" s="32">
        <v>45273</v>
      </c>
      <c r="D268" t="s">
        <v>97</v>
      </c>
      <c r="E268" t="s">
        <v>48</v>
      </c>
      <c r="F268" t="s">
        <v>116</v>
      </c>
      <c r="G268" t="s">
        <v>55</v>
      </c>
      <c r="H268" t="s">
        <v>68</v>
      </c>
      <c r="I268" t="s">
        <v>70</v>
      </c>
      <c r="J268" t="s">
        <v>99</v>
      </c>
      <c r="K268">
        <v>1</v>
      </c>
      <c r="L268">
        <v>1651</v>
      </c>
      <c r="M268">
        <v>1651</v>
      </c>
      <c r="N268">
        <v>5</v>
      </c>
      <c r="O268">
        <v>83</v>
      </c>
      <c r="P268">
        <v>1568</v>
      </c>
      <c r="Q268">
        <v>841</v>
      </c>
      <c r="R268">
        <v>727</v>
      </c>
      <c r="S268">
        <v>1</v>
      </c>
      <c r="T268">
        <v>1568</v>
      </c>
      <c r="U268">
        <v>4.0999999999999996</v>
      </c>
    </row>
    <row r="269" spans="1:21" x14ac:dyDescent="0.35">
      <c r="A269" t="s">
        <v>592</v>
      </c>
      <c r="B269" t="s">
        <v>39</v>
      </c>
      <c r="C269" s="32">
        <v>45275</v>
      </c>
      <c r="D269" t="s">
        <v>105</v>
      </c>
      <c r="E269" t="s">
        <v>54</v>
      </c>
      <c r="F269" t="s">
        <v>98</v>
      </c>
      <c r="G269" t="s">
        <v>51</v>
      </c>
      <c r="H269" t="s">
        <v>68</v>
      </c>
      <c r="I269" t="s">
        <v>70</v>
      </c>
      <c r="J269" t="s">
        <v>103</v>
      </c>
      <c r="K269">
        <v>14</v>
      </c>
      <c r="L269">
        <v>1742</v>
      </c>
      <c r="M269">
        <v>24388</v>
      </c>
      <c r="N269">
        <v>25</v>
      </c>
      <c r="O269">
        <v>6097</v>
      </c>
      <c r="P269">
        <v>18291</v>
      </c>
      <c r="Q269">
        <v>9931</v>
      </c>
      <c r="R269">
        <v>8360</v>
      </c>
      <c r="S269">
        <v>2</v>
      </c>
      <c r="T269">
        <v>2613</v>
      </c>
      <c r="U269">
        <v>3.7</v>
      </c>
    </row>
    <row r="270" spans="1:21" x14ac:dyDescent="0.35">
      <c r="A270" t="s">
        <v>594</v>
      </c>
      <c r="B270" t="s">
        <v>39</v>
      </c>
      <c r="C270" s="32">
        <v>45277</v>
      </c>
      <c r="D270" t="s">
        <v>115</v>
      </c>
      <c r="E270" t="s">
        <v>50</v>
      </c>
      <c r="F270" t="s">
        <v>116</v>
      </c>
      <c r="G270" t="s">
        <v>55</v>
      </c>
      <c r="H270" t="s">
        <v>68</v>
      </c>
      <c r="I270" t="s">
        <v>70</v>
      </c>
      <c r="J270" t="s">
        <v>95</v>
      </c>
      <c r="K270">
        <v>10</v>
      </c>
      <c r="L270">
        <v>444</v>
      </c>
      <c r="M270">
        <v>4440</v>
      </c>
      <c r="N270">
        <v>15</v>
      </c>
      <c r="O270">
        <v>666</v>
      </c>
      <c r="P270">
        <v>3774</v>
      </c>
      <c r="Q270">
        <v>1974</v>
      </c>
      <c r="R270">
        <v>1800</v>
      </c>
      <c r="S270">
        <v>1</v>
      </c>
      <c r="T270">
        <v>377</v>
      </c>
      <c r="U270">
        <v>3.1</v>
      </c>
    </row>
    <row r="271" spans="1:21" x14ac:dyDescent="0.35">
      <c r="A271" t="s">
        <v>595</v>
      </c>
      <c r="B271" t="s">
        <v>39</v>
      </c>
      <c r="C271" s="32">
        <v>45277</v>
      </c>
      <c r="D271" t="s">
        <v>120</v>
      </c>
      <c r="E271" t="s">
        <v>52</v>
      </c>
      <c r="F271" t="s">
        <v>102</v>
      </c>
      <c r="G271" t="s">
        <v>51</v>
      </c>
      <c r="H271" t="s">
        <v>68</v>
      </c>
      <c r="I271" t="s">
        <v>70</v>
      </c>
      <c r="J271" t="s">
        <v>95</v>
      </c>
      <c r="K271">
        <v>10</v>
      </c>
      <c r="L271">
        <v>4758</v>
      </c>
      <c r="M271">
        <v>47580</v>
      </c>
      <c r="N271">
        <v>10</v>
      </c>
      <c r="O271">
        <v>4758</v>
      </c>
      <c r="P271">
        <v>42822</v>
      </c>
      <c r="Q271">
        <v>27148</v>
      </c>
      <c r="R271">
        <v>15674</v>
      </c>
      <c r="S271">
        <v>1</v>
      </c>
      <c r="T271">
        <v>4282</v>
      </c>
      <c r="U271">
        <v>4.8</v>
      </c>
    </row>
    <row r="272" spans="1:21" x14ac:dyDescent="0.35">
      <c r="A272" t="s">
        <v>110</v>
      </c>
      <c r="B272" t="s">
        <v>28</v>
      </c>
      <c r="C272" s="32">
        <v>44935</v>
      </c>
      <c r="D272" t="s">
        <v>93</v>
      </c>
      <c r="E272" t="s">
        <v>48</v>
      </c>
      <c r="F272" t="s">
        <v>111</v>
      </c>
      <c r="G272" t="s">
        <v>53</v>
      </c>
      <c r="H272" t="s">
        <v>64</v>
      </c>
      <c r="I272" t="s">
        <v>67</v>
      </c>
      <c r="J272" t="s">
        <v>95</v>
      </c>
      <c r="K272">
        <v>4</v>
      </c>
      <c r="L272">
        <v>4321</v>
      </c>
      <c r="M272">
        <v>17284</v>
      </c>
      <c r="N272">
        <v>0</v>
      </c>
      <c r="O272">
        <v>0</v>
      </c>
      <c r="P272">
        <v>17284</v>
      </c>
      <c r="Q272">
        <v>11112</v>
      </c>
      <c r="R272">
        <v>6172</v>
      </c>
      <c r="S272">
        <v>1</v>
      </c>
      <c r="T272">
        <v>4321</v>
      </c>
      <c r="U272">
        <v>4.8</v>
      </c>
    </row>
    <row r="273" spans="1:21" x14ac:dyDescent="0.35">
      <c r="A273" t="s">
        <v>112</v>
      </c>
      <c r="B273" t="s">
        <v>28</v>
      </c>
      <c r="C273" s="32">
        <v>44937</v>
      </c>
      <c r="D273" t="s">
        <v>113</v>
      </c>
      <c r="E273" t="s">
        <v>54</v>
      </c>
      <c r="F273" t="s">
        <v>111</v>
      </c>
      <c r="G273" t="s">
        <v>57</v>
      </c>
      <c r="H273" t="s">
        <v>68</v>
      </c>
      <c r="I273" t="s">
        <v>67</v>
      </c>
      <c r="J273" t="s">
        <v>95</v>
      </c>
      <c r="K273">
        <v>7</v>
      </c>
      <c r="L273">
        <v>4268</v>
      </c>
      <c r="M273">
        <v>29876</v>
      </c>
      <c r="N273">
        <v>15</v>
      </c>
      <c r="O273">
        <v>4481</v>
      </c>
      <c r="P273">
        <v>25395</v>
      </c>
      <c r="Q273">
        <v>14194</v>
      </c>
      <c r="R273">
        <v>11201</v>
      </c>
      <c r="S273">
        <v>1</v>
      </c>
      <c r="T273">
        <v>3628</v>
      </c>
      <c r="U273">
        <v>3.8</v>
      </c>
    </row>
    <row r="274" spans="1:21" x14ac:dyDescent="0.35">
      <c r="A274" t="s">
        <v>125</v>
      </c>
      <c r="B274" t="s">
        <v>28</v>
      </c>
      <c r="C274" s="32">
        <v>44941</v>
      </c>
      <c r="D274" t="s">
        <v>93</v>
      </c>
      <c r="E274" t="s">
        <v>52</v>
      </c>
      <c r="F274" t="s">
        <v>108</v>
      </c>
      <c r="G274" t="s">
        <v>53</v>
      </c>
      <c r="H274" t="s">
        <v>68</v>
      </c>
      <c r="I274" t="s">
        <v>67</v>
      </c>
      <c r="J274" t="s">
        <v>95</v>
      </c>
      <c r="K274">
        <v>3</v>
      </c>
      <c r="L274">
        <v>4387</v>
      </c>
      <c r="M274">
        <v>13161</v>
      </c>
      <c r="N274">
        <v>30</v>
      </c>
      <c r="O274">
        <v>3948</v>
      </c>
      <c r="P274">
        <v>9213</v>
      </c>
      <c r="Q274">
        <v>4306</v>
      </c>
      <c r="R274">
        <v>4907</v>
      </c>
      <c r="S274">
        <v>0</v>
      </c>
      <c r="T274">
        <v>0</v>
      </c>
      <c r="U274">
        <v>2.7</v>
      </c>
    </row>
    <row r="275" spans="1:21" x14ac:dyDescent="0.35">
      <c r="A275" t="s">
        <v>127</v>
      </c>
      <c r="B275" t="s">
        <v>28</v>
      </c>
      <c r="C275" s="32">
        <v>44942</v>
      </c>
      <c r="D275" t="s">
        <v>101</v>
      </c>
      <c r="E275" t="s">
        <v>52</v>
      </c>
      <c r="F275" t="s">
        <v>116</v>
      </c>
      <c r="G275" t="s">
        <v>57</v>
      </c>
      <c r="H275" t="s">
        <v>68</v>
      </c>
      <c r="I275" t="s">
        <v>67</v>
      </c>
      <c r="J275" t="s">
        <v>103</v>
      </c>
      <c r="K275">
        <v>7</v>
      </c>
      <c r="L275">
        <v>2207</v>
      </c>
      <c r="M275">
        <v>15449</v>
      </c>
      <c r="N275">
        <v>30</v>
      </c>
      <c r="O275">
        <v>4635</v>
      </c>
      <c r="P275">
        <v>10814</v>
      </c>
      <c r="Q275">
        <v>6340</v>
      </c>
      <c r="R275">
        <v>4474</v>
      </c>
      <c r="S275">
        <v>0</v>
      </c>
      <c r="T275">
        <v>0</v>
      </c>
      <c r="U275">
        <v>3.7</v>
      </c>
    </row>
    <row r="276" spans="1:21" x14ac:dyDescent="0.35">
      <c r="A276" t="s">
        <v>128</v>
      </c>
      <c r="B276" t="s">
        <v>28</v>
      </c>
      <c r="C276" s="32">
        <v>44944</v>
      </c>
      <c r="D276" t="s">
        <v>115</v>
      </c>
      <c r="E276" t="s">
        <v>48</v>
      </c>
      <c r="F276" t="s">
        <v>94</v>
      </c>
      <c r="G276" t="s">
        <v>51</v>
      </c>
      <c r="H276" t="s">
        <v>64</v>
      </c>
      <c r="I276" t="s">
        <v>67</v>
      </c>
      <c r="J276" t="s">
        <v>99</v>
      </c>
      <c r="K276">
        <v>12</v>
      </c>
      <c r="L276">
        <v>2252</v>
      </c>
      <c r="M276">
        <v>27024</v>
      </c>
      <c r="N276">
        <v>15</v>
      </c>
      <c r="O276">
        <v>4054</v>
      </c>
      <c r="P276">
        <v>22970</v>
      </c>
      <c r="Q276">
        <v>11095</v>
      </c>
      <c r="R276">
        <v>11875</v>
      </c>
      <c r="S276">
        <v>2</v>
      </c>
      <c r="T276">
        <v>3828</v>
      </c>
      <c r="U276">
        <v>3.8</v>
      </c>
    </row>
    <row r="277" spans="1:21" x14ac:dyDescent="0.35">
      <c r="A277" t="s">
        <v>129</v>
      </c>
      <c r="B277" t="s">
        <v>28</v>
      </c>
      <c r="C277" s="32">
        <v>44945</v>
      </c>
      <c r="D277" t="s">
        <v>93</v>
      </c>
      <c r="E277" t="s">
        <v>58</v>
      </c>
      <c r="F277" t="s">
        <v>116</v>
      </c>
      <c r="G277" t="s">
        <v>55</v>
      </c>
      <c r="H277" t="s">
        <v>64</v>
      </c>
      <c r="I277" t="s">
        <v>67</v>
      </c>
      <c r="J277" t="s">
        <v>95</v>
      </c>
      <c r="K277">
        <v>1</v>
      </c>
      <c r="L277">
        <v>1701</v>
      </c>
      <c r="M277">
        <v>1701</v>
      </c>
      <c r="N277">
        <v>5</v>
      </c>
      <c r="O277">
        <v>85</v>
      </c>
      <c r="P277">
        <v>1616</v>
      </c>
      <c r="Q277">
        <v>1102</v>
      </c>
      <c r="R277">
        <v>514</v>
      </c>
      <c r="S277">
        <v>1</v>
      </c>
      <c r="T277">
        <v>1616</v>
      </c>
      <c r="U277">
        <v>3.2</v>
      </c>
    </row>
    <row r="278" spans="1:21" x14ac:dyDescent="0.35">
      <c r="A278" t="s">
        <v>140</v>
      </c>
      <c r="B278" t="s">
        <v>28</v>
      </c>
      <c r="C278" s="32">
        <v>44954</v>
      </c>
      <c r="D278" t="s">
        <v>105</v>
      </c>
      <c r="E278" t="s">
        <v>58</v>
      </c>
      <c r="F278" t="s">
        <v>111</v>
      </c>
      <c r="G278" t="s">
        <v>51</v>
      </c>
      <c r="H278" t="s">
        <v>64</v>
      </c>
      <c r="I278" t="s">
        <v>67</v>
      </c>
      <c r="J278" t="s">
        <v>99</v>
      </c>
      <c r="K278">
        <v>10</v>
      </c>
      <c r="L278">
        <v>4495</v>
      </c>
      <c r="M278">
        <v>44950</v>
      </c>
      <c r="N278">
        <v>40</v>
      </c>
      <c r="O278">
        <v>17980</v>
      </c>
      <c r="P278">
        <v>26970</v>
      </c>
      <c r="Q278">
        <v>13102</v>
      </c>
      <c r="R278">
        <v>13868</v>
      </c>
      <c r="S278">
        <v>2</v>
      </c>
      <c r="T278">
        <v>5394</v>
      </c>
      <c r="U278">
        <v>3</v>
      </c>
    </row>
    <row r="279" spans="1:21" x14ac:dyDescent="0.35">
      <c r="A279" t="s">
        <v>141</v>
      </c>
      <c r="B279" t="s">
        <v>28</v>
      </c>
      <c r="C279" s="32">
        <v>44955</v>
      </c>
      <c r="D279" t="s">
        <v>142</v>
      </c>
      <c r="E279" t="s">
        <v>58</v>
      </c>
      <c r="F279" t="s">
        <v>102</v>
      </c>
      <c r="G279" t="s">
        <v>53</v>
      </c>
      <c r="H279" t="s">
        <v>66</v>
      </c>
      <c r="I279" t="s">
        <v>67</v>
      </c>
      <c r="J279" t="s">
        <v>103</v>
      </c>
      <c r="K279">
        <v>9</v>
      </c>
      <c r="L279">
        <v>387</v>
      </c>
      <c r="M279">
        <v>3483</v>
      </c>
      <c r="N279">
        <v>25</v>
      </c>
      <c r="O279">
        <v>871</v>
      </c>
      <c r="P279">
        <v>2612</v>
      </c>
      <c r="Q279">
        <v>1697</v>
      </c>
      <c r="R279">
        <v>915</v>
      </c>
      <c r="S279">
        <v>1</v>
      </c>
      <c r="T279">
        <v>290</v>
      </c>
      <c r="U279">
        <v>2.7</v>
      </c>
    </row>
    <row r="280" spans="1:21" x14ac:dyDescent="0.35">
      <c r="A280" t="s">
        <v>147</v>
      </c>
      <c r="B280" t="s">
        <v>29</v>
      </c>
      <c r="C280" s="32">
        <v>44961</v>
      </c>
      <c r="D280" t="s">
        <v>101</v>
      </c>
      <c r="E280" t="s">
        <v>54</v>
      </c>
      <c r="F280" t="s">
        <v>108</v>
      </c>
      <c r="G280" t="s">
        <v>57</v>
      </c>
      <c r="H280" t="s">
        <v>66</v>
      </c>
      <c r="I280" t="s">
        <v>67</v>
      </c>
      <c r="J280" t="s">
        <v>95</v>
      </c>
      <c r="K280">
        <v>2</v>
      </c>
      <c r="L280">
        <v>3522</v>
      </c>
      <c r="M280">
        <v>7044</v>
      </c>
      <c r="N280">
        <v>25</v>
      </c>
      <c r="O280">
        <v>1761</v>
      </c>
      <c r="P280">
        <v>5283</v>
      </c>
      <c r="Q280">
        <v>2900</v>
      </c>
      <c r="R280">
        <v>2383</v>
      </c>
      <c r="S280">
        <v>0</v>
      </c>
      <c r="T280">
        <v>0</v>
      </c>
      <c r="U280">
        <v>4.5999999999999996</v>
      </c>
    </row>
    <row r="281" spans="1:21" x14ac:dyDescent="0.35">
      <c r="A281" t="s">
        <v>152</v>
      </c>
      <c r="B281" t="s">
        <v>29</v>
      </c>
      <c r="C281" s="32">
        <v>44963</v>
      </c>
      <c r="D281" t="s">
        <v>120</v>
      </c>
      <c r="E281" t="s">
        <v>48</v>
      </c>
      <c r="F281" t="s">
        <v>124</v>
      </c>
      <c r="G281" t="s">
        <v>51</v>
      </c>
      <c r="H281" t="s">
        <v>64</v>
      </c>
      <c r="I281" t="s">
        <v>67</v>
      </c>
      <c r="J281" t="s">
        <v>99</v>
      </c>
      <c r="K281">
        <v>14</v>
      </c>
      <c r="L281">
        <v>358</v>
      </c>
      <c r="M281">
        <v>5012</v>
      </c>
      <c r="N281">
        <v>15</v>
      </c>
      <c r="O281">
        <v>752</v>
      </c>
      <c r="P281">
        <v>4260</v>
      </c>
      <c r="Q281">
        <v>2327</v>
      </c>
      <c r="R281">
        <v>1933</v>
      </c>
      <c r="S281">
        <v>3</v>
      </c>
      <c r="T281">
        <v>913</v>
      </c>
      <c r="U281">
        <v>3.1</v>
      </c>
    </row>
    <row r="282" spans="1:21" x14ac:dyDescent="0.35">
      <c r="A282" t="s">
        <v>154</v>
      </c>
      <c r="B282" t="s">
        <v>29</v>
      </c>
      <c r="C282" s="32">
        <v>44964</v>
      </c>
      <c r="D282" t="s">
        <v>142</v>
      </c>
      <c r="E282" t="s">
        <v>50</v>
      </c>
      <c r="F282" t="s">
        <v>111</v>
      </c>
      <c r="G282" t="s">
        <v>55</v>
      </c>
      <c r="H282" t="s">
        <v>64</v>
      </c>
      <c r="I282" t="s">
        <v>67</v>
      </c>
      <c r="J282" t="s">
        <v>103</v>
      </c>
      <c r="K282">
        <v>6</v>
      </c>
      <c r="L282">
        <v>3634</v>
      </c>
      <c r="M282">
        <v>21804</v>
      </c>
      <c r="N282">
        <v>50</v>
      </c>
      <c r="O282">
        <v>10902</v>
      </c>
      <c r="P282">
        <v>10902</v>
      </c>
      <c r="Q282">
        <v>6384</v>
      </c>
      <c r="R282">
        <v>4518</v>
      </c>
      <c r="S282">
        <v>1</v>
      </c>
      <c r="T282">
        <v>1817</v>
      </c>
      <c r="U282">
        <v>4.5999999999999996</v>
      </c>
    </row>
    <row r="283" spans="1:21" x14ac:dyDescent="0.35">
      <c r="A283" t="s">
        <v>156</v>
      </c>
      <c r="B283" t="s">
        <v>29</v>
      </c>
      <c r="C283" s="32">
        <v>44965</v>
      </c>
      <c r="D283" t="s">
        <v>105</v>
      </c>
      <c r="E283" t="s">
        <v>48</v>
      </c>
      <c r="F283" t="s">
        <v>106</v>
      </c>
      <c r="G283" t="s">
        <v>49</v>
      </c>
      <c r="H283" t="s">
        <v>66</v>
      </c>
      <c r="I283" t="s">
        <v>67</v>
      </c>
      <c r="J283" t="s">
        <v>103</v>
      </c>
      <c r="K283">
        <v>10</v>
      </c>
      <c r="L283">
        <v>4085</v>
      </c>
      <c r="M283">
        <v>40850</v>
      </c>
      <c r="N283">
        <v>0</v>
      </c>
      <c r="O283">
        <v>0</v>
      </c>
      <c r="P283">
        <v>40850</v>
      </c>
      <c r="Q283">
        <v>21928</v>
      </c>
      <c r="R283">
        <v>18922</v>
      </c>
      <c r="S283">
        <v>1</v>
      </c>
      <c r="T283">
        <v>4085</v>
      </c>
      <c r="U283">
        <v>4.2</v>
      </c>
    </row>
    <row r="284" spans="1:21" x14ac:dyDescent="0.35">
      <c r="A284" t="s">
        <v>157</v>
      </c>
      <c r="B284" t="s">
        <v>29</v>
      </c>
      <c r="C284" s="32">
        <v>44965</v>
      </c>
      <c r="D284" t="s">
        <v>105</v>
      </c>
      <c r="E284" t="s">
        <v>58</v>
      </c>
      <c r="F284" t="s">
        <v>124</v>
      </c>
      <c r="G284" t="s">
        <v>53</v>
      </c>
      <c r="H284" t="s">
        <v>64</v>
      </c>
      <c r="I284" t="s">
        <v>67</v>
      </c>
      <c r="J284" t="s">
        <v>99</v>
      </c>
      <c r="K284">
        <v>1</v>
      </c>
      <c r="L284">
        <v>2682</v>
      </c>
      <c r="M284">
        <v>2682</v>
      </c>
      <c r="N284">
        <v>50</v>
      </c>
      <c r="O284">
        <v>1341</v>
      </c>
      <c r="P284">
        <v>1341</v>
      </c>
      <c r="Q284">
        <v>819</v>
      </c>
      <c r="R284">
        <v>522</v>
      </c>
      <c r="S284">
        <v>1</v>
      </c>
      <c r="T284">
        <v>1341</v>
      </c>
      <c r="U284">
        <v>4.5</v>
      </c>
    </row>
    <row r="285" spans="1:21" x14ac:dyDescent="0.35">
      <c r="A285" t="s">
        <v>158</v>
      </c>
      <c r="B285" t="s">
        <v>29</v>
      </c>
      <c r="C285" s="32">
        <v>44965</v>
      </c>
      <c r="D285" t="s">
        <v>101</v>
      </c>
      <c r="E285" t="s">
        <v>48</v>
      </c>
      <c r="F285" t="s">
        <v>111</v>
      </c>
      <c r="G285" t="s">
        <v>55</v>
      </c>
      <c r="H285" t="s">
        <v>68</v>
      </c>
      <c r="I285" t="s">
        <v>67</v>
      </c>
      <c r="J285" t="s">
        <v>95</v>
      </c>
      <c r="K285">
        <v>15</v>
      </c>
      <c r="L285">
        <v>2995</v>
      </c>
      <c r="M285">
        <v>44925</v>
      </c>
      <c r="N285">
        <v>10</v>
      </c>
      <c r="O285">
        <v>4492</v>
      </c>
      <c r="P285">
        <v>40433</v>
      </c>
      <c r="Q285">
        <v>27769</v>
      </c>
      <c r="R285">
        <v>12664</v>
      </c>
      <c r="S285">
        <v>1</v>
      </c>
      <c r="T285">
        <v>2696</v>
      </c>
      <c r="U285">
        <v>3.7</v>
      </c>
    </row>
    <row r="286" spans="1:21" x14ac:dyDescent="0.35">
      <c r="A286" t="s">
        <v>160</v>
      </c>
      <c r="B286" t="s">
        <v>29</v>
      </c>
      <c r="C286" s="32">
        <v>44969</v>
      </c>
      <c r="D286" t="s">
        <v>113</v>
      </c>
      <c r="E286" t="s">
        <v>54</v>
      </c>
      <c r="F286" t="s">
        <v>134</v>
      </c>
      <c r="G286" t="s">
        <v>57</v>
      </c>
      <c r="H286" t="s">
        <v>68</v>
      </c>
      <c r="I286" t="s">
        <v>67</v>
      </c>
      <c r="J286" t="s">
        <v>95</v>
      </c>
      <c r="K286">
        <v>1</v>
      </c>
      <c r="L286">
        <v>3632</v>
      </c>
      <c r="M286">
        <v>3632</v>
      </c>
      <c r="N286">
        <v>0</v>
      </c>
      <c r="O286">
        <v>0</v>
      </c>
      <c r="P286">
        <v>3632</v>
      </c>
      <c r="Q286">
        <v>2159</v>
      </c>
      <c r="R286">
        <v>1473</v>
      </c>
      <c r="S286">
        <v>0</v>
      </c>
      <c r="T286">
        <v>0</v>
      </c>
      <c r="U286">
        <v>3.8</v>
      </c>
    </row>
    <row r="287" spans="1:21" x14ac:dyDescent="0.35">
      <c r="A287" t="s">
        <v>163</v>
      </c>
      <c r="B287" t="s">
        <v>29</v>
      </c>
      <c r="C287" s="32">
        <v>44971</v>
      </c>
      <c r="D287" t="s">
        <v>113</v>
      </c>
      <c r="E287" t="s">
        <v>50</v>
      </c>
      <c r="F287" t="s">
        <v>102</v>
      </c>
      <c r="G287" t="s">
        <v>55</v>
      </c>
      <c r="H287" t="s">
        <v>66</v>
      </c>
      <c r="I287" t="s">
        <v>67</v>
      </c>
      <c r="J287" t="s">
        <v>99</v>
      </c>
      <c r="K287">
        <v>9</v>
      </c>
      <c r="L287">
        <v>2452</v>
      </c>
      <c r="M287">
        <v>22068</v>
      </c>
      <c r="N287">
        <v>0</v>
      </c>
      <c r="O287">
        <v>0</v>
      </c>
      <c r="P287">
        <v>22068</v>
      </c>
      <c r="Q287">
        <v>14270</v>
      </c>
      <c r="R287">
        <v>7798</v>
      </c>
      <c r="S287">
        <v>2</v>
      </c>
      <c r="T287">
        <v>4904</v>
      </c>
      <c r="U287">
        <v>4</v>
      </c>
    </row>
    <row r="288" spans="1:21" x14ac:dyDescent="0.35">
      <c r="A288" t="s">
        <v>164</v>
      </c>
      <c r="B288" t="s">
        <v>29</v>
      </c>
      <c r="C288" s="32">
        <v>44972</v>
      </c>
      <c r="D288" t="s">
        <v>122</v>
      </c>
      <c r="E288" t="s">
        <v>59</v>
      </c>
      <c r="F288" t="s">
        <v>116</v>
      </c>
      <c r="G288" t="s">
        <v>55</v>
      </c>
      <c r="H288" t="s">
        <v>68</v>
      </c>
      <c r="I288" t="s">
        <v>67</v>
      </c>
      <c r="J288" t="s">
        <v>95</v>
      </c>
      <c r="K288">
        <v>6</v>
      </c>
      <c r="L288">
        <v>1918</v>
      </c>
      <c r="M288">
        <v>11508</v>
      </c>
      <c r="N288">
        <v>0</v>
      </c>
      <c r="O288">
        <v>0</v>
      </c>
      <c r="P288">
        <v>11508</v>
      </c>
      <c r="Q288">
        <v>7393</v>
      </c>
      <c r="R288">
        <v>4115</v>
      </c>
      <c r="S288">
        <v>0</v>
      </c>
      <c r="T288">
        <v>0</v>
      </c>
      <c r="U288">
        <v>5</v>
      </c>
    </row>
    <row r="289" spans="1:21" x14ac:dyDescent="0.35">
      <c r="A289" t="s">
        <v>165</v>
      </c>
      <c r="B289" t="s">
        <v>29</v>
      </c>
      <c r="C289" s="32">
        <v>44973</v>
      </c>
      <c r="D289" t="s">
        <v>113</v>
      </c>
      <c r="E289" t="s">
        <v>50</v>
      </c>
      <c r="F289" t="s">
        <v>94</v>
      </c>
      <c r="G289" t="s">
        <v>55</v>
      </c>
      <c r="H289" t="s">
        <v>68</v>
      </c>
      <c r="I289" t="s">
        <v>67</v>
      </c>
      <c r="J289" t="s">
        <v>103</v>
      </c>
      <c r="K289">
        <v>2</v>
      </c>
      <c r="L289">
        <v>4330</v>
      </c>
      <c r="M289">
        <v>8660</v>
      </c>
      <c r="N289">
        <v>25</v>
      </c>
      <c r="O289">
        <v>2165</v>
      </c>
      <c r="P289">
        <v>6495</v>
      </c>
      <c r="Q289">
        <v>3591</v>
      </c>
      <c r="R289">
        <v>2904</v>
      </c>
      <c r="S289">
        <v>1</v>
      </c>
      <c r="T289">
        <v>3248</v>
      </c>
      <c r="U289">
        <v>3.2</v>
      </c>
    </row>
    <row r="290" spans="1:21" x14ac:dyDescent="0.35">
      <c r="A290" t="s">
        <v>172</v>
      </c>
      <c r="B290" t="s">
        <v>29</v>
      </c>
      <c r="C290" s="32">
        <v>44976</v>
      </c>
      <c r="D290" t="s">
        <v>142</v>
      </c>
      <c r="E290" t="s">
        <v>58</v>
      </c>
      <c r="F290" t="s">
        <v>106</v>
      </c>
      <c r="G290" t="s">
        <v>49</v>
      </c>
      <c r="H290" t="s">
        <v>68</v>
      </c>
      <c r="I290" t="s">
        <v>67</v>
      </c>
      <c r="J290" t="s">
        <v>103</v>
      </c>
      <c r="K290">
        <v>13</v>
      </c>
      <c r="L290">
        <v>1671</v>
      </c>
      <c r="M290">
        <v>21723</v>
      </c>
      <c r="N290">
        <v>50</v>
      </c>
      <c r="O290">
        <v>10862</v>
      </c>
      <c r="P290">
        <v>10861</v>
      </c>
      <c r="Q290">
        <v>5903</v>
      </c>
      <c r="R290">
        <v>4958</v>
      </c>
      <c r="S290">
        <v>0</v>
      </c>
      <c r="T290">
        <v>0</v>
      </c>
      <c r="U290">
        <v>2.6</v>
      </c>
    </row>
    <row r="291" spans="1:21" x14ac:dyDescent="0.35">
      <c r="A291" t="s">
        <v>176</v>
      </c>
      <c r="B291" t="s">
        <v>29</v>
      </c>
      <c r="C291" s="32">
        <v>44978</v>
      </c>
      <c r="D291" t="s">
        <v>131</v>
      </c>
      <c r="E291" t="s">
        <v>54</v>
      </c>
      <c r="F291" t="s">
        <v>106</v>
      </c>
      <c r="G291" t="s">
        <v>55</v>
      </c>
      <c r="H291" t="s">
        <v>68</v>
      </c>
      <c r="I291" t="s">
        <v>67</v>
      </c>
      <c r="J291" t="s">
        <v>99</v>
      </c>
      <c r="K291">
        <v>1</v>
      </c>
      <c r="L291">
        <v>768</v>
      </c>
      <c r="M291">
        <v>768</v>
      </c>
      <c r="N291">
        <v>10</v>
      </c>
      <c r="O291">
        <v>77</v>
      </c>
      <c r="P291">
        <v>691</v>
      </c>
      <c r="Q291">
        <v>462</v>
      </c>
      <c r="R291">
        <v>229</v>
      </c>
      <c r="S291">
        <v>1</v>
      </c>
      <c r="T291">
        <v>691</v>
      </c>
      <c r="U291">
        <v>3.4</v>
      </c>
    </row>
    <row r="292" spans="1:21" x14ac:dyDescent="0.35">
      <c r="A292" t="s">
        <v>180</v>
      </c>
      <c r="B292" t="s">
        <v>29</v>
      </c>
      <c r="C292" s="32">
        <v>44979</v>
      </c>
      <c r="D292" t="s">
        <v>113</v>
      </c>
      <c r="E292" t="s">
        <v>59</v>
      </c>
      <c r="F292" t="s">
        <v>98</v>
      </c>
      <c r="G292" t="s">
        <v>49</v>
      </c>
      <c r="H292" t="s">
        <v>66</v>
      </c>
      <c r="I292" t="s">
        <v>67</v>
      </c>
      <c r="J292" t="s">
        <v>99</v>
      </c>
      <c r="K292">
        <v>1</v>
      </c>
      <c r="L292">
        <v>4513</v>
      </c>
      <c r="M292">
        <v>4513</v>
      </c>
      <c r="N292">
        <v>10</v>
      </c>
      <c r="O292">
        <v>451</v>
      </c>
      <c r="P292">
        <v>4062</v>
      </c>
      <c r="Q292">
        <v>2491</v>
      </c>
      <c r="R292">
        <v>1571</v>
      </c>
      <c r="S292">
        <v>0</v>
      </c>
      <c r="T292">
        <v>0</v>
      </c>
      <c r="U292">
        <v>4.8</v>
      </c>
    </row>
    <row r="293" spans="1:21" x14ac:dyDescent="0.35">
      <c r="A293" t="s">
        <v>183</v>
      </c>
      <c r="B293" t="s">
        <v>29</v>
      </c>
      <c r="C293" s="32">
        <v>44981</v>
      </c>
      <c r="D293" t="s">
        <v>113</v>
      </c>
      <c r="E293" t="s">
        <v>54</v>
      </c>
      <c r="F293" t="s">
        <v>108</v>
      </c>
      <c r="G293" t="s">
        <v>57</v>
      </c>
      <c r="H293" t="s">
        <v>64</v>
      </c>
      <c r="I293" t="s">
        <v>67</v>
      </c>
      <c r="J293" t="s">
        <v>99</v>
      </c>
      <c r="K293">
        <v>7</v>
      </c>
      <c r="L293">
        <v>2156</v>
      </c>
      <c r="M293">
        <v>15092</v>
      </c>
      <c r="N293">
        <v>0</v>
      </c>
      <c r="O293">
        <v>0</v>
      </c>
      <c r="P293">
        <v>15092</v>
      </c>
      <c r="Q293">
        <v>8580</v>
      </c>
      <c r="R293">
        <v>6512</v>
      </c>
      <c r="S293">
        <v>0</v>
      </c>
      <c r="T293">
        <v>0</v>
      </c>
      <c r="U293">
        <v>2.8</v>
      </c>
    </row>
    <row r="294" spans="1:21" x14ac:dyDescent="0.35">
      <c r="A294" t="s">
        <v>187</v>
      </c>
      <c r="B294" t="s">
        <v>29</v>
      </c>
      <c r="C294" s="32">
        <v>44983</v>
      </c>
      <c r="D294" t="s">
        <v>142</v>
      </c>
      <c r="E294" t="s">
        <v>54</v>
      </c>
      <c r="F294" t="s">
        <v>134</v>
      </c>
      <c r="G294" t="s">
        <v>55</v>
      </c>
      <c r="H294" t="s">
        <v>66</v>
      </c>
      <c r="I294" t="s">
        <v>67</v>
      </c>
      <c r="J294" t="s">
        <v>95</v>
      </c>
      <c r="K294">
        <v>4</v>
      </c>
      <c r="L294">
        <v>2157</v>
      </c>
      <c r="M294">
        <v>8628</v>
      </c>
      <c r="N294">
        <v>0</v>
      </c>
      <c r="O294">
        <v>0</v>
      </c>
      <c r="P294">
        <v>8628</v>
      </c>
      <c r="Q294">
        <v>3899</v>
      </c>
      <c r="R294">
        <v>4729</v>
      </c>
      <c r="S294">
        <v>1</v>
      </c>
      <c r="T294">
        <v>2157</v>
      </c>
      <c r="U294">
        <v>4.9000000000000004</v>
      </c>
    </row>
    <row r="295" spans="1:21" x14ac:dyDescent="0.35">
      <c r="A295" t="s">
        <v>188</v>
      </c>
      <c r="B295" t="s">
        <v>29</v>
      </c>
      <c r="C295" s="32">
        <v>44983</v>
      </c>
      <c r="D295" t="s">
        <v>142</v>
      </c>
      <c r="E295" t="s">
        <v>58</v>
      </c>
      <c r="F295" t="s">
        <v>102</v>
      </c>
      <c r="G295" t="s">
        <v>53</v>
      </c>
      <c r="H295" t="s">
        <v>64</v>
      </c>
      <c r="I295" t="s">
        <v>67</v>
      </c>
      <c r="J295" t="s">
        <v>103</v>
      </c>
      <c r="K295">
        <v>11</v>
      </c>
      <c r="L295">
        <v>2158</v>
      </c>
      <c r="M295">
        <v>23738</v>
      </c>
      <c r="N295">
        <v>5</v>
      </c>
      <c r="O295">
        <v>1187</v>
      </c>
      <c r="P295">
        <v>22551</v>
      </c>
      <c r="Q295">
        <v>12045</v>
      </c>
      <c r="R295">
        <v>10506</v>
      </c>
      <c r="S295">
        <v>1</v>
      </c>
      <c r="T295">
        <v>2050</v>
      </c>
      <c r="U295">
        <v>2.8</v>
      </c>
    </row>
    <row r="296" spans="1:21" x14ac:dyDescent="0.35">
      <c r="A296" t="s">
        <v>191</v>
      </c>
      <c r="B296" t="s">
        <v>30</v>
      </c>
      <c r="C296" s="32">
        <v>44986</v>
      </c>
      <c r="D296" t="s">
        <v>97</v>
      </c>
      <c r="E296" t="s">
        <v>54</v>
      </c>
      <c r="F296" t="s">
        <v>116</v>
      </c>
      <c r="G296" t="s">
        <v>55</v>
      </c>
      <c r="H296" t="s">
        <v>68</v>
      </c>
      <c r="I296" t="s">
        <v>67</v>
      </c>
      <c r="J296" t="s">
        <v>95</v>
      </c>
      <c r="K296">
        <v>11</v>
      </c>
      <c r="L296">
        <v>2856</v>
      </c>
      <c r="M296">
        <v>31416</v>
      </c>
      <c r="N296">
        <v>10</v>
      </c>
      <c r="O296">
        <v>3142</v>
      </c>
      <c r="P296">
        <v>28274</v>
      </c>
      <c r="Q296">
        <v>15346</v>
      </c>
      <c r="R296">
        <v>12928</v>
      </c>
      <c r="S296">
        <v>1</v>
      </c>
      <c r="T296">
        <v>2570</v>
      </c>
      <c r="U296">
        <v>3.4</v>
      </c>
    </row>
    <row r="297" spans="1:21" x14ac:dyDescent="0.35">
      <c r="A297" t="s">
        <v>192</v>
      </c>
      <c r="B297" t="s">
        <v>30</v>
      </c>
      <c r="C297" s="32">
        <v>44987</v>
      </c>
      <c r="D297" t="s">
        <v>97</v>
      </c>
      <c r="E297" t="s">
        <v>52</v>
      </c>
      <c r="F297" t="s">
        <v>106</v>
      </c>
      <c r="G297" t="s">
        <v>49</v>
      </c>
      <c r="H297" t="s">
        <v>66</v>
      </c>
      <c r="I297" t="s">
        <v>67</v>
      </c>
      <c r="J297" t="s">
        <v>95</v>
      </c>
      <c r="K297">
        <v>8</v>
      </c>
      <c r="L297">
        <v>2638</v>
      </c>
      <c r="M297">
        <v>21104</v>
      </c>
      <c r="N297">
        <v>40</v>
      </c>
      <c r="O297">
        <v>8442</v>
      </c>
      <c r="P297">
        <v>12662</v>
      </c>
      <c r="Q297">
        <v>7418</v>
      </c>
      <c r="R297">
        <v>5244</v>
      </c>
      <c r="S297">
        <v>0</v>
      </c>
      <c r="T297">
        <v>0</v>
      </c>
      <c r="U297">
        <v>4</v>
      </c>
    </row>
    <row r="298" spans="1:21" x14ac:dyDescent="0.35">
      <c r="A298" t="s">
        <v>194</v>
      </c>
      <c r="B298" t="s">
        <v>30</v>
      </c>
      <c r="C298" s="32">
        <v>44990</v>
      </c>
      <c r="D298" t="s">
        <v>120</v>
      </c>
      <c r="E298" t="s">
        <v>54</v>
      </c>
      <c r="F298" t="s">
        <v>151</v>
      </c>
      <c r="G298" t="s">
        <v>55</v>
      </c>
      <c r="H298" t="s">
        <v>66</v>
      </c>
      <c r="I298" t="s">
        <v>67</v>
      </c>
      <c r="J298" t="s">
        <v>103</v>
      </c>
      <c r="K298">
        <v>10</v>
      </c>
      <c r="L298">
        <v>527</v>
      </c>
      <c r="M298">
        <v>5270</v>
      </c>
      <c r="N298">
        <v>0</v>
      </c>
      <c r="O298">
        <v>0</v>
      </c>
      <c r="P298">
        <v>5270</v>
      </c>
      <c r="Q298">
        <v>3244</v>
      </c>
      <c r="R298">
        <v>2026</v>
      </c>
      <c r="S298">
        <v>2</v>
      </c>
      <c r="T298">
        <v>1054</v>
      </c>
      <c r="U298">
        <v>4.5999999999999996</v>
      </c>
    </row>
    <row r="299" spans="1:21" x14ac:dyDescent="0.35">
      <c r="A299" t="s">
        <v>195</v>
      </c>
      <c r="B299" t="s">
        <v>30</v>
      </c>
      <c r="C299" s="32">
        <v>44991</v>
      </c>
      <c r="D299" t="s">
        <v>120</v>
      </c>
      <c r="E299" t="s">
        <v>50</v>
      </c>
      <c r="F299" t="s">
        <v>106</v>
      </c>
      <c r="G299" t="s">
        <v>53</v>
      </c>
      <c r="H299" t="s">
        <v>66</v>
      </c>
      <c r="I299" t="s">
        <v>67</v>
      </c>
      <c r="J299" t="s">
        <v>99</v>
      </c>
      <c r="K299">
        <v>12</v>
      </c>
      <c r="L299">
        <v>1206</v>
      </c>
      <c r="M299">
        <v>14472</v>
      </c>
      <c r="N299">
        <v>30</v>
      </c>
      <c r="O299">
        <v>4342</v>
      </c>
      <c r="P299">
        <v>10130</v>
      </c>
      <c r="Q299">
        <v>5466</v>
      </c>
      <c r="R299">
        <v>4664</v>
      </c>
      <c r="S299">
        <v>1</v>
      </c>
      <c r="T299">
        <v>844</v>
      </c>
      <c r="U299">
        <v>3.1</v>
      </c>
    </row>
    <row r="300" spans="1:21" x14ac:dyDescent="0.35">
      <c r="A300" t="s">
        <v>203</v>
      </c>
      <c r="B300" t="s">
        <v>30</v>
      </c>
      <c r="C300" s="32">
        <v>44996</v>
      </c>
      <c r="D300" t="s">
        <v>131</v>
      </c>
      <c r="E300" t="s">
        <v>50</v>
      </c>
      <c r="F300" t="s">
        <v>111</v>
      </c>
      <c r="G300" t="s">
        <v>57</v>
      </c>
      <c r="H300" t="s">
        <v>64</v>
      </c>
      <c r="I300" t="s">
        <v>67</v>
      </c>
      <c r="J300" t="s">
        <v>95</v>
      </c>
      <c r="K300">
        <v>9</v>
      </c>
      <c r="L300">
        <v>2804</v>
      </c>
      <c r="M300">
        <v>25236</v>
      </c>
      <c r="N300">
        <v>5</v>
      </c>
      <c r="O300">
        <v>1262</v>
      </c>
      <c r="P300">
        <v>23974</v>
      </c>
      <c r="Q300">
        <v>11892</v>
      </c>
      <c r="R300">
        <v>12082</v>
      </c>
      <c r="S300">
        <v>0</v>
      </c>
      <c r="T300">
        <v>0</v>
      </c>
      <c r="U300">
        <v>4.3</v>
      </c>
    </row>
    <row r="301" spans="1:21" x14ac:dyDescent="0.35">
      <c r="A301" t="s">
        <v>213</v>
      </c>
      <c r="B301" t="s">
        <v>30</v>
      </c>
      <c r="C301" s="32">
        <v>45008</v>
      </c>
      <c r="D301" t="s">
        <v>101</v>
      </c>
      <c r="E301" t="s">
        <v>58</v>
      </c>
      <c r="F301" t="s">
        <v>108</v>
      </c>
      <c r="G301" t="s">
        <v>49</v>
      </c>
      <c r="H301" t="s">
        <v>66</v>
      </c>
      <c r="I301" t="s">
        <v>67</v>
      </c>
      <c r="J301" t="s">
        <v>99</v>
      </c>
      <c r="K301">
        <v>2</v>
      </c>
      <c r="L301">
        <v>2047</v>
      </c>
      <c r="M301">
        <v>4094</v>
      </c>
      <c r="N301">
        <v>10</v>
      </c>
      <c r="O301">
        <v>409</v>
      </c>
      <c r="P301">
        <v>3685</v>
      </c>
      <c r="Q301">
        <v>1706</v>
      </c>
      <c r="R301">
        <v>1979</v>
      </c>
      <c r="S301">
        <v>1</v>
      </c>
      <c r="T301">
        <v>1842</v>
      </c>
      <c r="U301">
        <v>4.3</v>
      </c>
    </row>
    <row r="302" spans="1:21" x14ac:dyDescent="0.35">
      <c r="A302" t="s">
        <v>215</v>
      </c>
      <c r="B302" t="s">
        <v>30</v>
      </c>
      <c r="C302" s="32">
        <v>45009</v>
      </c>
      <c r="D302" t="s">
        <v>93</v>
      </c>
      <c r="E302" t="s">
        <v>54</v>
      </c>
      <c r="F302" t="s">
        <v>108</v>
      </c>
      <c r="G302" t="s">
        <v>51</v>
      </c>
      <c r="H302" t="s">
        <v>64</v>
      </c>
      <c r="I302" t="s">
        <v>67</v>
      </c>
      <c r="J302" t="s">
        <v>95</v>
      </c>
      <c r="K302">
        <v>13</v>
      </c>
      <c r="L302">
        <v>2843</v>
      </c>
      <c r="M302">
        <v>36959</v>
      </c>
      <c r="N302">
        <v>25</v>
      </c>
      <c r="O302">
        <v>9240</v>
      </c>
      <c r="P302">
        <v>27719</v>
      </c>
      <c r="Q302">
        <v>18115</v>
      </c>
      <c r="R302">
        <v>9604</v>
      </c>
      <c r="S302">
        <v>0</v>
      </c>
      <c r="T302">
        <v>0</v>
      </c>
      <c r="U302">
        <v>4</v>
      </c>
    </row>
    <row r="303" spans="1:21" x14ac:dyDescent="0.35">
      <c r="A303" t="s">
        <v>216</v>
      </c>
      <c r="B303" t="s">
        <v>30</v>
      </c>
      <c r="C303" s="32">
        <v>45011</v>
      </c>
      <c r="D303" t="s">
        <v>113</v>
      </c>
      <c r="E303" t="s">
        <v>54</v>
      </c>
      <c r="F303" t="s">
        <v>124</v>
      </c>
      <c r="G303" t="s">
        <v>53</v>
      </c>
      <c r="H303" t="s">
        <v>66</v>
      </c>
      <c r="I303" t="s">
        <v>67</v>
      </c>
      <c r="J303" t="s">
        <v>95</v>
      </c>
      <c r="K303">
        <v>8</v>
      </c>
      <c r="L303">
        <v>4825</v>
      </c>
      <c r="M303">
        <v>38600</v>
      </c>
      <c r="N303">
        <v>10</v>
      </c>
      <c r="O303">
        <v>3860</v>
      </c>
      <c r="P303">
        <v>34740</v>
      </c>
      <c r="Q303">
        <v>22183</v>
      </c>
      <c r="R303">
        <v>12557</v>
      </c>
      <c r="S303">
        <v>0</v>
      </c>
      <c r="T303">
        <v>0</v>
      </c>
      <c r="U303">
        <v>4.7</v>
      </c>
    </row>
    <row r="304" spans="1:21" x14ac:dyDescent="0.35">
      <c r="A304" t="s">
        <v>235</v>
      </c>
      <c r="B304" t="s">
        <v>31</v>
      </c>
      <c r="C304" s="32">
        <v>45025</v>
      </c>
      <c r="D304" t="s">
        <v>122</v>
      </c>
      <c r="E304" t="s">
        <v>52</v>
      </c>
      <c r="F304" t="s">
        <v>111</v>
      </c>
      <c r="G304" t="s">
        <v>51</v>
      </c>
      <c r="H304" t="s">
        <v>64</v>
      </c>
      <c r="I304" t="s">
        <v>67</v>
      </c>
      <c r="J304" t="s">
        <v>95</v>
      </c>
      <c r="K304">
        <v>9</v>
      </c>
      <c r="L304">
        <v>3922</v>
      </c>
      <c r="M304">
        <v>35298</v>
      </c>
      <c r="N304">
        <v>50</v>
      </c>
      <c r="O304">
        <v>17649</v>
      </c>
      <c r="P304">
        <v>17649</v>
      </c>
      <c r="Q304">
        <v>8109</v>
      </c>
      <c r="R304">
        <v>9540</v>
      </c>
      <c r="S304">
        <v>1</v>
      </c>
      <c r="T304">
        <v>1961</v>
      </c>
      <c r="U304">
        <v>4.7</v>
      </c>
    </row>
    <row r="305" spans="1:21" x14ac:dyDescent="0.35">
      <c r="A305" t="s">
        <v>239</v>
      </c>
      <c r="B305" t="s">
        <v>31</v>
      </c>
      <c r="C305" s="32">
        <v>45027</v>
      </c>
      <c r="D305" t="s">
        <v>122</v>
      </c>
      <c r="E305" t="s">
        <v>56</v>
      </c>
      <c r="F305" t="s">
        <v>102</v>
      </c>
      <c r="G305" t="s">
        <v>53</v>
      </c>
      <c r="H305" t="s">
        <v>64</v>
      </c>
      <c r="I305" t="s">
        <v>67</v>
      </c>
      <c r="J305" t="s">
        <v>103</v>
      </c>
      <c r="K305">
        <v>9</v>
      </c>
      <c r="L305">
        <v>738</v>
      </c>
      <c r="M305">
        <v>6642</v>
      </c>
      <c r="N305">
        <v>10</v>
      </c>
      <c r="O305">
        <v>664</v>
      </c>
      <c r="P305">
        <v>5978</v>
      </c>
      <c r="Q305">
        <v>3575</v>
      </c>
      <c r="R305">
        <v>2403</v>
      </c>
      <c r="S305">
        <v>2</v>
      </c>
      <c r="T305">
        <v>1328</v>
      </c>
      <c r="U305">
        <v>2.9</v>
      </c>
    </row>
    <row r="306" spans="1:21" x14ac:dyDescent="0.35">
      <c r="A306" t="s">
        <v>243</v>
      </c>
      <c r="B306" t="s">
        <v>31</v>
      </c>
      <c r="C306" s="32">
        <v>45032</v>
      </c>
      <c r="D306" t="s">
        <v>93</v>
      </c>
      <c r="E306" t="s">
        <v>56</v>
      </c>
      <c r="F306" t="s">
        <v>94</v>
      </c>
      <c r="G306" t="s">
        <v>53</v>
      </c>
      <c r="H306" t="s">
        <v>66</v>
      </c>
      <c r="I306" t="s">
        <v>67</v>
      </c>
      <c r="J306" t="s">
        <v>99</v>
      </c>
      <c r="K306">
        <v>12</v>
      </c>
      <c r="L306">
        <v>4917</v>
      </c>
      <c r="M306">
        <v>59004</v>
      </c>
      <c r="N306">
        <v>25</v>
      </c>
      <c r="O306">
        <v>14751</v>
      </c>
      <c r="P306">
        <v>44253</v>
      </c>
      <c r="Q306">
        <v>30870</v>
      </c>
      <c r="R306">
        <v>13383</v>
      </c>
      <c r="S306">
        <v>0</v>
      </c>
      <c r="T306">
        <v>0</v>
      </c>
      <c r="U306">
        <v>4</v>
      </c>
    </row>
    <row r="307" spans="1:21" x14ac:dyDescent="0.35">
      <c r="A307" t="s">
        <v>245</v>
      </c>
      <c r="B307" t="s">
        <v>31</v>
      </c>
      <c r="C307" s="32">
        <v>45033</v>
      </c>
      <c r="D307" t="s">
        <v>113</v>
      </c>
      <c r="E307" t="s">
        <v>59</v>
      </c>
      <c r="F307" t="s">
        <v>111</v>
      </c>
      <c r="G307" t="s">
        <v>51</v>
      </c>
      <c r="H307" t="s">
        <v>64</v>
      </c>
      <c r="I307" t="s">
        <v>67</v>
      </c>
      <c r="J307" t="s">
        <v>95</v>
      </c>
      <c r="K307">
        <v>3</v>
      </c>
      <c r="L307">
        <v>4312</v>
      </c>
      <c r="M307">
        <v>12936</v>
      </c>
      <c r="N307">
        <v>20</v>
      </c>
      <c r="O307">
        <v>2587</v>
      </c>
      <c r="P307">
        <v>10349</v>
      </c>
      <c r="Q307">
        <v>5514</v>
      </c>
      <c r="R307">
        <v>4835</v>
      </c>
      <c r="S307">
        <v>0</v>
      </c>
      <c r="T307">
        <v>0</v>
      </c>
      <c r="U307">
        <v>2.6</v>
      </c>
    </row>
    <row r="308" spans="1:21" x14ac:dyDescent="0.35">
      <c r="A308" t="s">
        <v>247</v>
      </c>
      <c r="B308" t="s">
        <v>31</v>
      </c>
      <c r="C308" s="32">
        <v>45035</v>
      </c>
      <c r="D308" t="s">
        <v>120</v>
      </c>
      <c r="E308" t="s">
        <v>50</v>
      </c>
      <c r="F308" t="s">
        <v>108</v>
      </c>
      <c r="G308" t="s">
        <v>53</v>
      </c>
      <c r="H308" t="s">
        <v>68</v>
      </c>
      <c r="I308" t="s">
        <v>67</v>
      </c>
      <c r="J308" t="s">
        <v>103</v>
      </c>
      <c r="K308">
        <v>10</v>
      </c>
      <c r="L308">
        <v>913</v>
      </c>
      <c r="M308">
        <v>9130</v>
      </c>
      <c r="N308">
        <v>40</v>
      </c>
      <c r="O308">
        <v>3652</v>
      </c>
      <c r="P308">
        <v>5478</v>
      </c>
      <c r="Q308">
        <v>3545</v>
      </c>
      <c r="R308">
        <v>1933</v>
      </c>
      <c r="S308">
        <v>2</v>
      </c>
      <c r="T308">
        <v>1096</v>
      </c>
      <c r="U308">
        <v>4.4000000000000004</v>
      </c>
    </row>
    <row r="309" spans="1:21" x14ac:dyDescent="0.35">
      <c r="A309" t="s">
        <v>249</v>
      </c>
      <c r="B309" t="s">
        <v>31</v>
      </c>
      <c r="C309" s="32">
        <v>45036</v>
      </c>
      <c r="D309" t="s">
        <v>120</v>
      </c>
      <c r="E309" t="s">
        <v>52</v>
      </c>
      <c r="F309" t="s">
        <v>102</v>
      </c>
      <c r="G309" t="s">
        <v>53</v>
      </c>
      <c r="H309" t="s">
        <v>66</v>
      </c>
      <c r="I309" t="s">
        <v>67</v>
      </c>
      <c r="J309" t="s">
        <v>95</v>
      </c>
      <c r="K309">
        <v>2</v>
      </c>
      <c r="L309">
        <v>3193</v>
      </c>
      <c r="M309">
        <v>6386</v>
      </c>
      <c r="N309">
        <v>15</v>
      </c>
      <c r="O309">
        <v>958</v>
      </c>
      <c r="P309">
        <v>5428</v>
      </c>
      <c r="Q309">
        <v>2772</v>
      </c>
      <c r="R309">
        <v>2656</v>
      </c>
      <c r="S309">
        <v>0</v>
      </c>
      <c r="T309">
        <v>0</v>
      </c>
      <c r="U309">
        <v>4.0999999999999996</v>
      </c>
    </row>
    <row r="310" spans="1:21" x14ac:dyDescent="0.35">
      <c r="A310" t="s">
        <v>251</v>
      </c>
      <c r="B310" t="s">
        <v>31</v>
      </c>
      <c r="C310" s="32">
        <v>45037</v>
      </c>
      <c r="D310" t="s">
        <v>131</v>
      </c>
      <c r="E310" t="s">
        <v>50</v>
      </c>
      <c r="F310" t="s">
        <v>124</v>
      </c>
      <c r="G310" t="s">
        <v>51</v>
      </c>
      <c r="H310" t="s">
        <v>68</v>
      </c>
      <c r="I310" t="s">
        <v>67</v>
      </c>
      <c r="J310" t="s">
        <v>99</v>
      </c>
      <c r="K310">
        <v>7</v>
      </c>
      <c r="L310">
        <v>2254</v>
      </c>
      <c r="M310">
        <v>15778</v>
      </c>
      <c r="N310">
        <v>5</v>
      </c>
      <c r="O310">
        <v>789</v>
      </c>
      <c r="P310">
        <v>14989</v>
      </c>
      <c r="Q310">
        <v>7916</v>
      </c>
      <c r="R310">
        <v>7073</v>
      </c>
      <c r="S310">
        <v>1</v>
      </c>
      <c r="T310">
        <v>2141</v>
      </c>
      <c r="U310">
        <v>4.2</v>
      </c>
    </row>
    <row r="311" spans="1:21" x14ac:dyDescent="0.35">
      <c r="A311" t="s">
        <v>254</v>
      </c>
      <c r="B311" t="s">
        <v>31</v>
      </c>
      <c r="C311" s="32">
        <v>45039</v>
      </c>
      <c r="D311" t="s">
        <v>97</v>
      </c>
      <c r="E311" t="s">
        <v>58</v>
      </c>
      <c r="F311" t="s">
        <v>124</v>
      </c>
      <c r="G311" t="s">
        <v>51</v>
      </c>
      <c r="H311" t="s">
        <v>64</v>
      </c>
      <c r="I311" t="s">
        <v>67</v>
      </c>
      <c r="J311" t="s">
        <v>99</v>
      </c>
      <c r="K311">
        <v>4</v>
      </c>
      <c r="L311">
        <v>500</v>
      </c>
      <c r="M311">
        <v>2000</v>
      </c>
      <c r="N311">
        <v>15</v>
      </c>
      <c r="O311">
        <v>300</v>
      </c>
      <c r="P311">
        <v>1700</v>
      </c>
      <c r="Q311">
        <v>985</v>
      </c>
      <c r="R311">
        <v>715</v>
      </c>
      <c r="S311">
        <v>1</v>
      </c>
      <c r="T311">
        <v>425</v>
      </c>
      <c r="U311">
        <v>3.5</v>
      </c>
    </row>
    <row r="312" spans="1:21" x14ac:dyDescent="0.35">
      <c r="A312" t="s">
        <v>256</v>
      </c>
      <c r="B312" t="s">
        <v>31</v>
      </c>
      <c r="C312" s="32">
        <v>45041</v>
      </c>
      <c r="D312" t="s">
        <v>115</v>
      </c>
      <c r="E312" t="s">
        <v>58</v>
      </c>
      <c r="F312" t="s">
        <v>98</v>
      </c>
      <c r="G312" t="s">
        <v>53</v>
      </c>
      <c r="H312" t="s">
        <v>66</v>
      </c>
      <c r="I312" t="s">
        <v>67</v>
      </c>
      <c r="J312" t="s">
        <v>95</v>
      </c>
      <c r="K312">
        <v>13</v>
      </c>
      <c r="L312">
        <v>1608</v>
      </c>
      <c r="M312">
        <v>20904</v>
      </c>
      <c r="N312">
        <v>15</v>
      </c>
      <c r="O312">
        <v>3136</v>
      </c>
      <c r="P312">
        <v>17768</v>
      </c>
      <c r="Q312">
        <v>11581</v>
      </c>
      <c r="R312">
        <v>6187</v>
      </c>
      <c r="S312">
        <v>0</v>
      </c>
      <c r="T312">
        <v>0</v>
      </c>
      <c r="U312">
        <v>4</v>
      </c>
    </row>
    <row r="313" spans="1:21" x14ac:dyDescent="0.35">
      <c r="A313" t="s">
        <v>260</v>
      </c>
      <c r="B313" t="s">
        <v>31</v>
      </c>
      <c r="C313" s="32">
        <v>45044</v>
      </c>
      <c r="D313" t="s">
        <v>97</v>
      </c>
      <c r="E313" t="s">
        <v>58</v>
      </c>
      <c r="F313" t="s">
        <v>151</v>
      </c>
      <c r="G313" t="s">
        <v>53</v>
      </c>
      <c r="H313" t="s">
        <v>68</v>
      </c>
      <c r="I313" t="s">
        <v>67</v>
      </c>
      <c r="J313" t="s">
        <v>95</v>
      </c>
      <c r="K313">
        <v>4</v>
      </c>
      <c r="L313">
        <v>4591</v>
      </c>
      <c r="M313">
        <v>18364</v>
      </c>
      <c r="N313">
        <v>25</v>
      </c>
      <c r="O313">
        <v>4591</v>
      </c>
      <c r="P313">
        <v>13773</v>
      </c>
      <c r="Q313">
        <v>6930</v>
      </c>
      <c r="R313">
        <v>6843</v>
      </c>
      <c r="S313">
        <v>1</v>
      </c>
      <c r="T313">
        <v>3443</v>
      </c>
      <c r="U313">
        <v>3.5</v>
      </c>
    </row>
    <row r="314" spans="1:21" x14ac:dyDescent="0.35">
      <c r="A314" t="s">
        <v>264</v>
      </c>
      <c r="B314" t="s">
        <v>32</v>
      </c>
      <c r="C314" s="32">
        <v>45047</v>
      </c>
      <c r="D314" t="s">
        <v>105</v>
      </c>
      <c r="E314" t="s">
        <v>58</v>
      </c>
      <c r="F314" t="s">
        <v>94</v>
      </c>
      <c r="G314" t="s">
        <v>49</v>
      </c>
      <c r="H314" t="s">
        <v>66</v>
      </c>
      <c r="I314" t="s">
        <v>67</v>
      </c>
      <c r="J314" t="s">
        <v>103</v>
      </c>
      <c r="K314">
        <v>15</v>
      </c>
      <c r="L314">
        <v>4895</v>
      </c>
      <c r="M314">
        <v>73425</v>
      </c>
      <c r="N314">
        <v>25</v>
      </c>
      <c r="O314">
        <v>18356</v>
      </c>
      <c r="P314">
        <v>55069</v>
      </c>
      <c r="Q314">
        <v>25615</v>
      </c>
      <c r="R314">
        <v>29454</v>
      </c>
      <c r="S314">
        <v>2</v>
      </c>
      <c r="T314">
        <v>7342</v>
      </c>
      <c r="U314">
        <v>3</v>
      </c>
    </row>
    <row r="315" spans="1:21" x14ac:dyDescent="0.35">
      <c r="A315" t="s">
        <v>267</v>
      </c>
      <c r="B315" t="s">
        <v>32</v>
      </c>
      <c r="C315" s="32">
        <v>45047</v>
      </c>
      <c r="D315" t="s">
        <v>131</v>
      </c>
      <c r="E315" t="s">
        <v>48</v>
      </c>
      <c r="F315" t="s">
        <v>108</v>
      </c>
      <c r="G315" t="s">
        <v>49</v>
      </c>
      <c r="H315" t="s">
        <v>66</v>
      </c>
      <c r="I315" t="s">
        <v>67</v>
      </c>
      <c r="J315" t="s">
        <v>99</v>
      </c>
      <c r="K315">
        <v>15</v>
      </c>
      <c r="L315">
        <v>4999</v>
      </c>
      <c r="M315">
        <v>74985</v>
      </c>
      <c r="N315">
        <v>0</v>
      </c>
      <c r="O315">
        <v>0</v>
      </c>
      <c r="P315">
        <v>74985</v>
      </c>
      <c r="Q315">
        <v>51442</v>
      </c>
      <c r="R315">
        <v>23543</v>
      </c>
      <c r="S315">
        <v>2</v>
      </c>
      <c r="T315">
        <v>9998</v>
      </c>
      <c r="U315">
        <v>3.1</v>
      </c>
    </row>
    <row r="316" spans="1:21" x14ac:dyDescent="0.35">
      <c r="A316" t="s">
        <v>269</v>
      </c>
      <c r="B316" t="s">
        <v>32</v>
      </c>
      <c r="C316" s="32">
        <v>45048</v>
      </c>
      <c r="D316" t="s">
        <v>131</v>
      </c>
      <c r="E316" t="s">
        <v>48</v>
      </c>
      <c r="F316" t="s">
        <v>94</v>
      </c>
      <c r="G316" t="s">
        <v>49</v>
      </c>
      <c r="H316" t="s">
        <v>64</v>
      </c>
      <c r="I316" t="s">
        <v>67</v>
      </c>
      <c r="J316" t="s">
        <v>95</v>
      </c>
      <c r="K316">
        <v>3</v>
      </c>
      <c r="L316">
        <v>3785</v>
      </c>
      <c r="M316">
        <v>11355</v>
      </c>
      <c r="N316">
        <v>50</v>
      </c>
      <c r="O316">
        <v>5678</v>
      </c>
      <c r="P316">
        <v>5677</v>
      </c>
      <c r="Q316">
        <v>2716</v>
      </c>
      <c r="R316">
        <v>2961</v>
      </c>
      <c r="S316">
        <v>0</v>
      </c>
      <c r="T316">
        <v>0</v>
      </c>
      <c r="U316">
        <v>3.7</v>
      </c>
    </row>
    <row r="317" spans="1:21" x14ac:dyDescent="0.35">
      <c r="A317" t="s">
        <v>270</v>
      </c>
      <c r="B317" t="s">
        <v>32</v>
      </c>
      <c r="C317" s="32">
        <v>45048</v>
      </c>
      <c r="D317" t="s">
        <v>122</v>
      </c>
      <c r="E317" t="s">
        <v>54</v>
      </c>
      <c r="F317" t="s">
        <v>108</v>
      </c>
      <c r="G317" t="s">
        <v>53</v>
      </c>
      <c r="H317" t="s">
        <v>68</v>
      </c>
      <c r="I317" t="s">
        <v>67</v>
      </c>
      <c r="J317" t="s">
        <v>99</v>
      </c>
      <c r="K317">
        <v>8</v>
      </c>
      <c r="L317">
        <v>1577</v>
      </c>
      <c r="M317">
        <v>12616</v>
      </c>
      <c r="N317">
        <v>5</v>
      </c>
      <c r="O317">
        <v>631</v>
      </c>
      <c r="P317">
        <v>11985</v>
      </c>
      <c r="Q317">
        <v>8220</v>
      </c>
      <c r="R317">
        <v>3765</v>
      </c>
      <c r="S317">
        <v>0</v>
      </c>
      <c r="T317">
        <v>0</v>
      </c>
      <c r="U317">
        <v>4.4000000000000004</v>
      </c>
    </row>
    <row r="318" spans="1:21" x14ac:dyDescent="0.35">
      <c r="A318" t="s">
        <v>272</v>
      </c>
      <c r="B318" t="s">
        <v>32</v>
      </c>
      <c r="C318" s="32">
        <v>45050</v>
      </c>
      <c r="D318" t="s">
        <v>113</v>
      </c>
      <c r="E318" t="s">
        <v>59</v>
      </c>
      <c r="F318" t="s">
        <v>134</v>
      </c>
      <c r="G318" t="s">
        <v>55</v>
      </c>
      <c r="H318" t="s">
        <v>66</v>
      </c>
      <c r="I318" t="s">
        <v>67</v>
      </c>
      <c r="J318" t="s">
        <v>103</v>
      </c>
      <c r="K318">
        <v>3</v>
      </c>
      <c r="L318">
        <v>3689</v>
      </c>
      <c r="M318">
        <v>11067</v>
      </c>
      <c r="N318">
        <v>40</v>
      </c>
      <c r="O318">
        <v>4427</v>
      </c>
      <c r="P318">
        <v>6640</v>
      </c>
      <c r="Q318">
        <v>4644</v>
      </c>
      <c r="R318">
        <v>1996</v>
      </c>
      <c r="S318">
        <v>1</v>
      </c>
      <c r="T318">
        <v>2213</v>
      </c>
      <c r="U318">
        <v>4.8</v>
      </c>
    </row>
    <row r="319" spans="1:21" x14ac:dyDescent="0.35">
      <c r="A319" t="s">
        <v>286</v>
      </c>
      <c r="B319" t="s">
        <v>32</v>
      </c>
      <c r="C319" s="32">
        <v>45059</v>
      </c>
      <c r="D319" t="s">
        <v>101</v>
      </c>
      <c r="E319" t="s">
        <v>54</v>
      </c>
      <c r="F319" t="s">
        <v>108</v>
      </c>
      <c r="G319" t="s">
        <v>57</v>
      </c>
      <c r="H319" t="s">
        <v>66</v>
      </c>
      <c r="I319" t="s">
        <v>67</v>
      </c>
      <c r="J319" t="s">
        <v>103</v>
      </c>
      <c r="K319">
        <v>1</v>
      </c>
      <c r="L319">
        <v>2727</v>
      </c>
      <c r="M319">
        <v>2727</v>
      </c>
      <c r="N319">
        <v>15</v>
      </c>
      <c r="O319">
        <v>409</v>
      </c>
      <c r="P319">
        <v>2318</v>
      </c>
      <c r="Q319">
        <v>1093</v>
      </c>
      <c r="R319">
        <v>1225</v>
      </c>
      <c r="S319">
        <v>1</v>
      </c>
      <c r="T319">
        <v>2318</v>
      </c>
      <c r="U319">
        <v>3.7</v>
      </c>
    </row>
    <row r="320" spans="1:21" x14ac:dyDescent="0.35">
      <c r="A320" t="s">
        <v>287</v>
      </c>
      <c r="B320" t="s">
        <v>32</v>
      </c>
      <c r="C320" s="32">
        <v>45059</v>
      </c>
      <c r="D320" t="s">
        <v>142</v>
      </c>
      <c r="E320" t="s">
        <v>54</v>
      </c>
      <c r="F320" t="s">
        <v>116</v>
      </c>
      <c r="G320" t="s">
        <v>51</v>
      </c>
      <c r="H320" t="s">
        <v>66</v>
      </c>
      <c r="I320" t="s">
        <v>67</v>
      </c>
      <c r="J320" t="s">
        <v>99</v>
      </c>
      <c r="K320">
        <v>8</v>
      </c>
      <c r="L320">
        <v>2590</v>
      </c>
      <c r="M320">
        <v>20720</v>
      </c>
      <c r="N320">
        <v>5</v>
      </c>
      <c r="O320">
        <v>1036</v>
      </c>
      <c r="P320">
        <v>19684</v>
      </c>
      <c r="Q320">
        <v>11197</v>
      </c>
      <c r="R320">
        <v>8487</v>
      </c>
      <c r="S320">
        <v>1</v>
      </c>
      <c r="T320">
        <v>2460</v>
      </c>
      <c r="U320">
        <v>3.7</v>
      </c>
    </row>
    <row r="321" spans="1:21" x14ac:dyDescent="0.35">
      <c r="A321" t="s">
        <v>289</v>
      </c>
      <c r="B321" t="s">
        <v>32</v>
      </c>
      <c r="C321" s="32">
        <v>45060</v>
      </c>
      <c r="D321" t="s">
        <v>93</v>
      </c>
      <c r="E321" t="s">
        <v>54</v>
      </c>
      <c r="F321" t="s">
        <v>94</v>
      </c>
      <c r="G321" t="s">
        <v>57</v>
      </c>
      <c r="H321" t="s">
        <v>66</v>
      </c>
      <c r="I321" t="s">
        <v>67</v>
      </c>
      <c r="J321" t="s">
        <v>99</v>
      </c>
      <c r="K321">
        <v>1</v>
      </c>
      <c r="L321">
        <v>2234</v>
      </c>
      <c r="M321">
        <v>2234</v>
      </c>
      <c r="N321">
        <v>25</v>
      </c>
      <c r="O321">
        <v>558</v>
      </c>
      <c r="P321">
        <v>1676</v>
      </c>
      <c r="Q321">
        <v>1118</v>
      </c>
      <c r="R321">
        <v>558</v>
      </c>
      <c r="S321">
        <v>0</v>
      </c>
      <c r="T321">
        <v>0</v>
      </c>
      <c r="U321">
        <v>3.9</v>
      </c>
    </row>
    <row r="322" spans="1:21" x14ac:dyDescent="0.35">
      <c r="A322" t="s">
        <v>291</v>
      </c>
      <c r="B322" t="s">
        <v>32</v>
      </c>
      <c r="C322" s="32">
        <v>45062</v>
      </c>
      <c r="D322" t="s">
        <v>93</v>
      </c>
      <c r="E322" t="s">
        <v>59</v>
      </c>
      <c r="F322" t="s">
        <v>98</v>
      </c>
      <c r="G322" t="s">
        <v>57</v>
      </c>
      <c r="H322" t="s">
        <v>64</v>
      </c>
      <c r="I322" t="s">
        <v>67</v>
      </c>
      <c r="J322" t="s">
        <v>99</v>
      </c>
      <c r="K322">
        <v>10</v>
      </c>
      <c r="L322">
        <v>1289</v>
      </c>
      <c r="M322">
        <v>12890</v>
      </c>
      <c r="N322">
        <v>25</v>
      </c>
      <c r="O322">
        <v>3222</v>
      </c>
      <c r="P322">
        <v>9668</v>
      </c>
      <c r="Q322">
        <v>4843</v>
      </c>
      <c r="R322">
        <v>4825</v>
      </c>
      <c r="S322">
        <v>2</v>
      </c>
      <c r="T322">
        <v>1934</v>
      </c>
      <c r="U322">
        <v>4.5999999999999996</v>
      </c>
    </row>
    <row r="323" spans="1:21" x14ac:dyDescent="0.35">
      <c r="A323" t="s">
        <v>292</v>
      </c>
      <c r="B323" t="s">
        <v>32</v>
      </c>
      <c r="C323" s="32">
        <v>45062</v>
      </c>
      <c r="D323" t="s">
        <v>101</v>
      </c>
      <c r="E323" t="s">
        <v>58</v>
      </c>
      <c r="F323" t="s">
        <v>98</v>
      </c>
      <c r="G323" t="s">
        <v>49</v>
      </c>
      <c r="H323" t="s">
        <v>64</v>
      </c>
      <c r="I323" t="s">
        <v>67</v>
      </c>
      <c r="J323" t="s">
        <v>103</v>
      </c>
      <c r="K323">
        <v>12</v>
      </c>
      <c r="L323">
        <v>3135</v>
      </c>
      <c r="M323">
        <v>37620</v>
      </c>
      <c r="N323">
        <v>15</v>
      </c>
      <c r="O323">
        <v>5643</v>
      </c>
      <c r="P323">
        <v>31977</v>
      </c>
      <c r="Q323">
        <v>21072</v>
      </c>
      <c r="R323">
        <v>10905</v>
      </c>
      <c r="S323">
        <v>2</v>
      </c>
      <c r="T323">
        <v>5330</v>
      </c>
      <c r="U323">
        <v>2.9</v>
      </c>
    </row>
    <row r="324" spans="1:21" x14ac:dyDescent="0.35">
      <c r="A324" t="s">
        <v>298</v>
      </c>
      <c r="B324" t="s">
        <v>32</v>
      </c>
      <c r="C324" s="32">
        <v>45068</v>
      </c>
      <c r="D324" t="s">
        <v>122</v>
      </c>
      <c r="E324" t="s">
        <v>58</v>
      </c>
      <c r="F324" t="s">
        <v>94</v>
      </c>
      <c r="G324" t="s">
        <v>51</v>
      </c>
      <c r="H324" t="s">
        <v>66</v>
      </c>
      <c r="I324" t="s">
        <v>67</v>
      </c>
      <c r="J324" t="s">
        <v>99</v>
      </c>
      <c r="K324">
        <v>8</v>
      </c>
      <c r="L324">
        <v>2392</v>
      </c>
      <c r="M324">
        <v>19136</v>
      </c>
      <c r="N324">
        <v>20</v>
      </c>
      <c r="O324">
        <v>3827</v>
      </c>
      <c r="P324">
        <v>15309</v>
      </c>
      <c r="Q324">
        <v>8753</v>
      </c>
      <c r="R324">
        <v>6556</v>
      </c>
      <c r="S324">
        <v>0</v>
      </c>
      <c r="T324">
        <v>0</v>
      </c>
      <c r="U324">
        <v>2.9</v>
      </c>
    </row>
    <row r="325" spans="1:21" x14ac:dyDescent="0.35">
      <c r="A325" t="s">
        <v>312</v>
      </c>
      <c r="B325" t="s">
        <v>32</v>
      </c>
      <c r="C325" s="32">
        <v>45075</v>
      </c>
      <c r="D325" t="s">
        <v>105</v>
      </c>
      <c r="E325" t="s">
        <v>59</v>
      </c>
      <c r="F325" t="s">
        <v>106</v>
      </c>
      <c r="G325" t="s">
        <v>49</v>
      </c>
      <c r="H325" t="s">
        <v>68</v>
      </c>
      <c r="I325" t="s">
        <v>67</v>
      </c>
      <c r="J325" t="s">
        <v>99</v>
      </c>
      <c r="K325">
        <v>11</v>
      </c>
      <c r="L325">
        <v>4219</v>
      </c>
      <c r="M325">
        <v>46409</v>
      </c>
      <c r="N325">
        <v>10</v>
      </c>
      <c r="O325">
        <v>4641</v>
      </c>
      <c r="P325">
        <v>41768</v>
      </c>
      <c r="Q325">
        <v>22661</v>
      </c>
      <c r="R325">
        <v>19107</v>
      </c>
      <c r="S325">
        <v>0</v>
      </c>
      <c r="T325">
        <v>0</v>
      </c>
      <c r="U325">
        <v>4.2</v>
      </c>
    </row>
    <row r="326" spans="1:21" x14ac:dyDescent="0.35">
      <c r="A326" t="s">
        <v>318</v>
      </c>
      <c r="B326" t="s">
        <v>33</v>
      </c>
      <c r="C326" s="32">
        <v>45080</v>
      </c>
      <c r="D326" t="s">
        <v>115</v>
      </c>
      <c r="E326" t="s">
        <v>56</v>
      </c>
      <c r="F326" t="s">
        <v>116</v>
      </c>
      <c r="G326" t="s">
        <v>53</v>
      </c>
      <c r="H326" t="s">
        <v>68</v>
      </c>
      <c r="I326" t="s">
        <v>67</v>
      </c>
      <c r="J326" t="s">
        <v>95</v>
      </c>
      <c r="K326">
        <v>7</v>
      </c>
      <c r="L326">
        <v>4310</v>
      </c>
      <c r="M326">
        <v>30170</v>
      </c>
      <c r="N326">
        <v>5</v>
      </c>
      <c r="O326">
        <v>1508</v>
      </c>
      <c r="P326">
        <v>28662</v>
      </c>
      <c r="Q326">
        <v>14598</v>
      </c>
      <c r="R326">
        <v>14064</v>
      </c>
      <c r="S326">
        <v>1</v>
      </c>
      <c r="T326">
        <v>4094</v>
      </c>
      <c r="U326">
        <v>3.9</v>
      </c>
    </row>
    <row r="327" spans="1:21" x14ac:dyDescent="0.35">
      <c r="A327" t="s">
        <v>326</v>
      </c>
      <c r="B327" t="s">
        <v>33</v>
      </c>
      <c r="C327" s="32">
        <v>45088</v>
      </c>
      <c r="D327" t="s">
        <v>113</v>
      </c>
      <c r="E327" t="s">
        <v>58</v>
      </c>
      <c r="F327" t="s">
        <v>124</v>
      </c>
      <c r="G327" t="s">
        <v>57</v>
      </c>
      <c r="H327" t="s">
        <v>64</v>
      </c>
      <c r="I327" t="s">
        <v>67</v>
      </c>
      <c r="J327" t="s">
        <v>95</v>
      </c>
      <c r="K327">
        <v>8</v>
      </c>
      <c r="L327">
        <v>941</v>
      </c>
      <c r="M327">
        <v>7528</v>
      </c>
      <c r="N327">
        <v>30</v>
      </c>
      <c r="O327">
        <v>2258</v>
      </c>
      <c r="P327">
        <v>5270</v>
      </c>
      <c r="Q327">
        <v>3641</v>
      </c>
      <c r="R327">
        <v>1629</v>
      </c>
      <c r="S327">
        <v>2</v>
      </c>
      <c r="T327">
        <v>1317</v>
      </c>
      <c r="U327">
        <v>4.0999999999999996</v>
      </c>
    </row>
    <row r="328" spans="1:21" x14ac:dyDescent="0.35">
      <c r="A328" t="s">
        <v>330</v>
      </c>
      <c r="B328" t="s">
        <v>33</v>
      </c>
      <c r="C328" s="32">
        <v>45095</v>
      </c>
      <c r="D328" t="s">
        <v>131</v>
      </c>
      <c r="E328" t="s">
        <v>58</v>
      </c>
      <c r="F328" t="s">
        <v>111</v>
      </c>
      <c r="G328" t="s">
        <v>57</v>
      </c>
      <c r="H328" t="s">
        <v>64</v>
      </c>
      <c r="I328" t="s">
        <v>67</v>
      </c>
      <c r="J328" t="s">
        <v>95</v>
      </c>
      <c r="K328">
        <v>3</v>
      </c>
      <c r="L328">
        <v>2838</v>
      </c>
      <c r="M328">
        <v>8514</v>
      </c>
      <c r="N328">
        <v>10</v>
      </c>
      <c r="O328">
        <v>851</v>
      </c>
      <c r="P328">
        <v>7663</v>
      </c>
      <c r="Q328">
        <v>3659</v>
      </c>
      <c r="R328">
        <v>4004</v>
      </c>
      <c r="S328">
        <v>0</v>
      </c>
      <c r="T328">
        <v>0</v>
      </c>
      <c r="U328">
        <v>2.8</v>
      </c>
    </row>
    <row r="329" spans="1:21" x14ac:dyDescent="0.35">
      <c r="A329" t="s">
        <v>331</v>
      </c>
      <c r="B329" t="s">
        <v>33</v>
      </c>
      <c r="C329" s="32">
        <v>45096</v>
      </c>
      <c r="D329" t="s">
        <v>131</v>
      </c>
      <c r="E329" t="s">
        <v>56</v>
      </c>
      <c r="F329" t="s">
        <v>98</v>
      </c>
      <c r="G329" t="s">
        <v>51</v>
      </c>
      <c r="H329" t="s">
        <v>68</v>
      </c>
      <c r="I329" t="s">
        <v>67</v>
      </c>
      <c r="J329" t="s">
        <v>95</v>
      </c>
      <c r="K329">
        <v>11</v>
      </c>
      <c r="L329">
        <v>4460</v>
      </c>
      <c r="M329">
        <v>49060</v>
      </c>
      <c r="N329">
        <v>5</v>
      </c>
      <c r="O329">
        <v>2453</v>
      </c>
      <c r="P329">
        <v>46607</v>
      </c>
      <c r="Q329">
        <v>30547</v>
      </c>
      <c r="R329">
        <v>16060</v>
      </c>
      <c r="S329">
        <v>2</v>
      </c>
      <c r="T329">
        <v>8474</v>
      </c>
      <c r="U329">
        <v>4.0999999999999996</v>
      </c>
    </row>
    <row r="330" spans="1:21" x14ac:dyDescent="0.35">
      <c r="A330" t="s">
        <v>337</v>
      </c>
      <c r="B330" t="s">
        <v>33</v>
      </c>
      <c r="C330" s="32">
        <v>45099</v>
      </c>
      <c r="D330" t="s">
        <v>105</v>
      </c>
      <c r="E330" t="s">
        <v>58</v>
      </c>
      <c r="F330" t="s">
        <v>116</v>
      </c>
      <c r="G330" t="s">
        <v>53</v>
      </c>
      <c r="H330" t="s">
        <v>68</v>
      </c>
      <c r="I330" t="s">
        <v>67</v>
      </c>
      <c r="J330" t="s">
        <v>95</v>
      </c>
      <c r="K330">
        <v>8</v>
      </c>
      <c r="L330">
        <v>390</v>
      </c>
      <c r="M330">
        <v>3120</v>
      </c>
      <c r="N330">
        <v>50</v>
      </c>
      <c r="O330">
        <v>1560</v>
      </c>
      <c r="P330">
        <v>1560</v>
      </c>
      <c r="Q330">
        <v>722</v>
      </c>
      <c r="R330">
        <v>838</v>
      </c>
      <c r="S330">
        <v>1</v>
      </c>
      <c r="T330">
        <v>195</v>
      </c>
      <c r="U330">
        <v>3.1</v>
      </c>
    </row>
    <row r="331" spans="1:21" x14ac:dyDescent="0.35">
      <c r="A331" t="s">
        <v>340</v>
      </c>
      <c r="B331" t="s">
        <v>33</v>
      </c>
      <c r="C331" s="32">
        <v>45103</v>
      </c>
      <c r="D331" t="s">
        <v>97</v>
      </c>
      <c r="E331" t="s">
        <v>52</v>
      </c>
      <c r="F331" t="s">
        <v>98</v>
      </c>
      <c r="G331" t="s">
        <v>57</v>
      </c>
      <c r="H331" t="s">
        <v>66</v>
      </c>
      <c r="I331" t="s">
        <v>67</v>
      </c>
      <c r="J331" t="s">
        <v>95</v>
      </c>
      <c r="K331">
        <v>1</v>
      </c>
      <c r="L331">
        <v>1955</v>
      </c>
      <c r="M331">
        <v>1955</v>
      </c>
      <c r="N331">
        <v>25</v>
      </c>
      <c r="O331">
        <v>489</v>
      </c>
      <c r="P331">
        <v>1466</v>
      </c>
      <c r="Q331">
        <v>958</v>
      </c>
      <c r="R331">
        <v>508</v>
      </c>
      <c r="S331">
        <v>0</v>
      </c>
      <c r="T331">
        <v>0</v>
      </c>
      <c r="U331">
        <v>4.5999999999999996</v>
      </c>
    </row>
    <row r="332" spans="1:21" x14ac:dyDescent="0.35">
      <c r="A332" t="s">
        <v>346</v>
      </c>
      <c r="B332" t="s">
        <v>34</v>
      </c>
      <c r="C332" s="32">
        <v>45109</v>
      </c>
      <c r="D332" t="s">
        <v>93</v>
      </c>
      <c r="E332" t="s">
        <v>50</v>
      </c>
      <c r="F332" t="s">
        <v>102</v>
      </c>
      <c r="G332" t="s">
        <v>49</v>
      </c>
      <c r="H332" t="s">
        <v>66</v>
      </c>
      <c r="I332" t="s">
        <v>67</v>
      </c>
      <c r="J332" t="s">
        <v>99</v>
      </c>
      <c r="K332">
        <v>14</v>
      </c>
      <c r="L332">
        <v>4955</v>
      </c>
      <c r="M332">
        <v>69370</v>
      </c>
      <c r="N332">
        <v>0</v>
      </c>
      <c r="O332">
        <v>0</v>
      </c>
      <c r="P332">
        <v>69370</v>
      </c>
      <c r="Q332">
        <v>47728</v>
      </c>
      <c r="R332">
        <v>21642</v>
      </c>
      <c r="S332">
        <v>3</v>
      </c>
      <c r="T332">
        <v>14865</v>
      </c>
      <c r="U332">
        <v>3.9</v>
      </c>
    </row>
    <row r="333" spans="1:21" x14ac:dyDescent="0.35">
      <c r="A333" t="s">
        <v>350</v>
      </c>
      <c r="B333" t="s">
        <v>34</v>
      </c>
      <c r="C333" s="32">
        <v>45113</v>
      </c>
      <c r="D333" t="s">
        <v>105</v>
      </c>
      <c r="E333" t="s">
        <v>58</v>
      </c>
      <c r="F333" t="s">
        <v>151</v>
      </c>
      <c r="G333" t="s">
        <v>51</v>
      </c>
      <c r="H333" t="s">
        <v>68</v>
      </c>
      <c r="I333" t="s">
        <v>67</v>
      </c>
      <c r="J333" t="s">
        <v>103</v>
      </c>
      <c r="K333">
        <v>13</v>
      </c>
      <c r="L333">
        <v>3212</v>
      </c>
      <c r="M333">
        <v>41756</v>
      </c>
      <c r="N333">
        <v>40</v>
      </c>
      <c r="O333">
        <v>16702</v>
      </c>
      <c r="P333">
        <v>25054</v>
      </c>
      <c r="Q333">
        <v>15763</v>
      </c>
      <c r="R333">
        <v>9291</v>
      </c>
      <c r="S333">
        <v>2</v>
      </c>
      <c r="T333">
        <v>3854</v>
      </c>
      <c r="U333">
        <v>4.3</v>
      </c>
    </row>
    <row r="334" spans="1:21" x14ac:dyDescent="0.35">
      <c r="A334" t="s">
        <v>352</v>
      </c>
      <c r="B334" t="s">
        <v>34</v>
      </c>
      <c r="C334" s="32">
        <v>45114</v>
      </c>
      <c r="D334" t="s">
        <v>113</v>
      </c>
      <c r="E334" t="s">
        <v>48</v>
      </c>
      <c r="F334" t="s">
        <v>94</v>
      </c>
      <c r="G334" t="s">
        <v>49</v>
      </c>
      <c r="H334" t="s">
        <v>68</v>
      </c>
      <c r="I334" t="s">
        <v>67</v>
      </c>
      <c r="J334" t="s">
        <v>103</v>
      </c>
      <c r="K334">
        <v>4</v>
      </c>
      <c r="L334">
        <v>1129</v>
      </c>
      <c r="M334">
        <v>4516</v>
      </c>
      <c r="N334">
        <v>0</v>
      </c>
      <c r="O334">
        <v>0</v>
      </c>
      <c r="P334">
        <v>4516</v>
      </c>
      <c r="Q334">
        <v>3125</v>
      </c>
      <c r="R334">
        <v>1391</v>
      </c>
      <c r="S334">
        <v>0</v>
      </c>
      <c r="T334">
        <v>0</v>
      </c>
      <c r="U334">
        <v>3.2</v>
      </c>
    </row>
    <row r="335" spans="1:21" x14ac:dyDescent="0.35">
      <c r="A335" t="s">
        <v>358</v>
      </c>
      <c r="B335" t="s">
        <v>34</v>
      </c>
      <c r="C335" s="32">
        <v>45119</v>
      </c>
      <c r="D335" t="s">
        <v>120</v>
      </c>
      <c r="E335" t="s">
        <v>59</v>
      </c>
      <c r="F335" t="s">
        <v>102</v>
      </c>
      <c r="G335" t="s">
        <v>51</v>
      </c>
      <c r="H335" t="s">
        <v>66</v>
      </c>
      <c r="I335" t="s">
        <v>67</v>
      </c>
      <c r="J335" t="s">
        <v>95</v>
      </c>
      <c r="K335">
        <v>3</v>
      </c>
      <c r="L335">
        <v>4965</v>
      </c>
      <c r="M335">
        <v>14895</v>
      </c>
      <c r="N335">
        <v>30</v>
      </c>
      <c r="O335">
        <v>4468</v>
      </c>
      <c r="P335">
        <v>10427</v>
      </c>
      <c r="Q335">
        <v>6071</v>
      </c>
      <c r="R335">
        <v>4356</v>
      </c>
      <c r="S335">
        <v>0</v>
      </c>
      <c r="T335">
        <v>0</v>
      </c>
      <c r="U335">
        <v>4.5999999999999996</v>
      </c>
    </row>
    <row r="336" spans="1:21" x14ac:dyDescent="0.35">
      <c r="A336" t="s">
        <v>360</v>
      </c>
      <c r="B336" t="s">
        <v>34</v>
      </c>
      <c r="C336" s="32">
        <v>45121</v>
      </c>
      <c r="D336" t="s">
        <v>97</v>
      </c>
      <c r="E336" t="s">
        <v>56</v>
      </c>
      <c r="F336" t="s">
        <v>111</v>
      </c>
      <c r="G336" t="s">
        <v>49</v>
      </c>
      <c r="H336" t="s">
        <v>66</v>
      </c>
      <c r="I336" t="s">
        <v>67</v>
      </c>
      <c r="J336" t="s">
        <v>103</v>
      </c>
      <c r="K336">
        <v>4</v>
      </c>
      <c r="L336">
        <v>1806</v>
      </c>
      <c r="M336">
        <v>7224</v>
      </c>
      <c r="N336">
        <v>5</v>
      </c>
      <c r="O336">
        <v>361</v>
      </c>
      <c r="P336">
        <v>6863</v>
      </c>
      <c r="Q336">
        <v>4218</v>
      </c>
      <c r="R336">
        <v>2645</v>
      </c>
      <c r="S336">
        <v>1</v>
      </c>
      <c r="T336">
        <v>1716</v>
      </c>
      <c r="U336">
        <v>3</v>
      </c>
    </row>
    <row r="337" spans="1:21" x14ac:dyDescent="0.35">
      <c r="A337" t="s">
        <v>369</v>
      </c>
      <c r="B337" t="s">
        <v>34</v>
      </c>
      <c r="C337" s="32">
        <v>45125</v>
      </c>
      <c r="D337" t="s">
        <v>122</v>
      </c>
      <c r="E337" t="s">
        <v>50</v>
      </c>
      <c r="F337" t="s">
        <v>94</v>
      </c>
      <c r="G337" t="s">
        <v>57</v>
      </c>
      <c r="H337" t="s">
        <v>64</v>
      </c>
      <c r="I337" t="s">
        <v>67</v>
      </c>
      <c r="J337" t="s">
        <v>95</v>
      </c>
      <c r="K337">
        <v>6</v>
      </c>
      <c r="L337">
        <v>743</v>
      </c>
      <c r="M337">
        <v>4458</v>
      </c>
      <c r="N337">
        <v>30</v>
      </c>
      <c r="O337">
        <v>1337</v>
      </c>
      <c r="P337">
        <v>3121</v>
      </c>
      <c r="Q337">
        <v>1626</v>
      </c>
      <c r="R337">
        <v>1495</v>
      </c>
      <c r="S337">
        <v>0</v>
      </c>
      <c r="T337">
        <v>0</v>
      </c>
      <c r="U337">
        <v>3.3</v>
      </c>
    </row>
    <row r="338" spans="1:21" x14ac:dyDescent="0.35">
      <c r="A338" t="s">
        <v>382</v>
      </c>
      <c r="B338" t="s">
        <v>34</v>
      </c>
      <c r="C338" s="32">
        <v>45133</v>
      </c>
      <c r="D338" t="s">
        <v>115</v>
      </c>
      <c r="E338" t="s">
        <v>58</v>
      </c>
      <c r="F338" t="s">
        <v>111</v>
      </c>
      <c r="G338" t="s">
        <v>53</v>
      </c>
      <c r="H338" t="s">
        <v>64</v>
      </c>
      <c r="I338" t="s">
        <v>67</v>
      </c>
      <c r="J338" t="s">
        <v>103</v>
      </c>
      <c r="K338">
        <v>1</v>
      </c>
      <c r="L338">
        <v>303</v>
      </c>
      <c r="M338">
        <v>303</v>
      </c>
      <c r="N338">
        <v>50</v>
      </c>
      <c r="O338">
        <v>152</v>
      </c>
      <c r="P338">
        <v>151</v>
      </c>
      <c r="Q338">
        <v>99</v>
      </c>
      <c r="R338">
        <v>52</v>
      </c>
      <c r="S338">
        <v>1</v>
      </c>
      <c r="T338">
        <v>152</v>
      </c>
      <c r="U338">
        <v>2.8</v>
      </c>
    </row>
    <row r="339" spans="1:21" x14ac:dyDescent="0.35">
      <c r="A339" t="s">
        <v>384</v>
      </c>
      <c r="B339" t="s">
        <v>34</v>
      </c>
      <c r="C339" s="32">
        <v>45134</v>
      </c>
      <c r="D339" t="s">
        <v>113</v>
      </c>
      <c r="E339" t="s">
        <v>48</v>
      </c>
      <c r="F339" t="s">
        <v>134</v>
      </c>
      <c r="G339" t="s">
        <v>49</v>
      </c>
      <c r="H339" t="s">
        <v>66</v>
      </c>
      <c r="I339" t="s">
        <v>67</v>
      </c>
      <c r="J339" t="s">
        <v>95</v>
      </c>
      <c r="K339">
        <v>4</v>
      </c>
      <c r="L339">
        <v>2410</v>
      </c>
      <c r="M339">
        <v>9640</v>
      </c>
      <c r="N339">
        <v>40</v>
      </c>
      <c r="O339">
        <v>3856</v>
      </c>
      <c r="P339">
        <v>5784</v>
      </c>
      <c r="Q339">
        <v>3857</v>
      </c>
      <c r="R339">
        <v>1927</v>
      </c>
      <c r="S339">
        <v>0</v>
      </c>
      <c r="T339">
        <v>0</v>
      </c>
      <c r="U339">
        <v>3</v>
      </c>
    </row>
    <row r="340" spans="1:21" x14ac:dyDescent="0.35">
      <c r="A340" t="s">
        <v>385</v>
      </c>
      <c r="B340" t="s">
        <v>34</v>
      </c>
      <c r="C340" s="32">
        <v>45136</v>
      </c>
      <c r="D340" t="s">
        <v>113</v>
      </c>
      <c r="E340" t="s">
        <v>58</v>
      </c>
      <c r="F340" t="s">
        <v>111</v>
      </c>
      <c r="G340" t="s">
        <v>49</v>
      </c>
      <c r="H340" t="s">
        <v>68</v>
      </c>
      <c r="I340" t="s">
        <v>67</v>
      </c>
      <c r="J340" t="s">
        <v>99</v>
      </c>
      <c r="K340">
        <v>10</v>
      </c>
      <c r="L340">
        <v>3555</v>
      </c>
      <c r="M340">
        <v>35550</v>
      </c>
      <c r="N340">
        <v>5</v>
      </c>
      <c r="O340">
        <v>1778</v>
      </c>
      <c r="P340">
        <v>33772</v>
      </c>
      <c r="Q340">
        <v>22389</v>
      </c>
      <c r="R340">
        <v>11383</v>
      </c>
      <c r="S340">
        <v>2</v>
      </c>
      <c r="T340">
        <v>6754</v>
      </c>
      <c r="U340">
        <v>4.5999999999999996</v>
      </c>
    </row>
    <row r="341" spans="1:21" x14ac:dyDescent="0.35">
      <c r="A341" t="s">
        <v>386</v>
      </c>
      <c r="B341" t="s">
        <v>34</v>
      </c>
      <c r="C341" s="32">
        <v>45136</v>
      </c>
      <c r="D341" t="s">
        <v>122</v>
      </c>
      <c r="E341" t="s">
        <v>56</v>
      </c>
      <c r="F341" t="s">
        <v>124</v>
      </c>
      <c r="G341" t="s">
        <v>51</v>
      </c>
      <c r="H341" t="s">
        <v>66</v>
      </c>
      <c r="I341" t="s">
        <v>67</v>
      </c>
      <c r="J341" t="s">
        <v>95</v>
      </c>
      <c r="K341">
        <v>5</v>
      </c>
      <c r="L341">
        <v>3395</v>
      </c>
      <c r="M341">
        <v>16975</v>
      </c>
      <c r="N341">
        <v>30</v>
      </c>
      <c r="O341">
        <v>5092</v>
      </c>
      <c r="P341">
        <v>11883</v>
      </c>
      <c r="Q341">
        <v>7691</v>
      </c>
      <c r="R341">
        <v>4192</v>
      </c>
      <c r="S341">
        <v>0</v>
      </c>
      <c r="T341">
        <v>0</v>
      </c>
      <c r="U341">
        <v>3.6</v>
      </c>
    </row>
    <row r="342" spans="1:21" x14ac:dyDescent="0.35">
      <c r="A342" t="s">
        <v>390</v>
      </c>
      <c r="B342" t="s">
        <v>34</v>
      </c>
      <c r="C342" s="32">
        <v>45138</v>
      </c>
      <c r="D342" t="s">
        <v>122</v>
      </c>
      <c r="E342" t="s">
        <v>50</v>
      </c>
      <c r="F342" t="s">
        <v>108</v>
      </c>
      <c r="G342" t="s">
        <v>55</v>
      </c>
      <c r="H342" t="s">
        <v>66</v>
      </c>
      <c r="I342" t="s">
        <v>67</v>
      </c>
      <c r="J342" t="s">
        <v>95</v>
      </c>
      <c r="K342">
        <v>13</v>
      </c>
      <c r="L342">
        <v>1182</v>
      </c>
      <c r="M342">
        <v>15366</v>
      </c>
      <c r="N342">
        <v>10</v>
      </c>
      <c r="O342">
        <v>1537</v>
      </c>
      <c r="P342">
        <v>13829</v>
      </c>
      <c r="Q342">
        <v>6862</v>
      </c>
      <c r="R342">
        <v>6967</v>
      </c>
      <c r="S342">
        <v>2</v>
      </c>
      <c r="T342">
        <v>2128</v>
      </c>
      <c r="U342">
        <v>4</v>
      </c>
    </row>
    <row r="343" spans="1:21" x14ac:dyDescent="0.35">
      <c r="A343" t="s">
        <v>398</v>
      </c>
      <c r="B343" t="s">
        <v>35</v>
      </c>
      <c r="C343" s="32">
        <v>45147</v>
      </c>
      <c r="D343" t="s">
        <v>97</v>
      </c>
      <c r="E343" t="s">
        <v>48</v>
      </c>
      <c r="F343" t="s">
        <v>111</v>
      </c>
      <c r="G343" t="s">
        <v>57</v>
      </c>
      <c r="H343" t="s">
        <v>68</v>
      </c>
      <c r="I343" t="s">
        <v>67</v>
      </c>
      <c r="J343" t="s">
        <v>95</v>
      </c>
      <c r="K343">
        <v>2</v>
      </c>
      <c r="L343">
        <v>1840</v>
      </c>
      <c r="M343">
        <v>3680</v>
      </c>
      <c r="N343">
        <v>20</v>
      </c>
      <c r="O343">
        <v>736</v>
      </c>
      <c r="P343">
        <v>2944</v>
      </c>
      <c r="Q343">
        <v>1550</v>
      </c>
      <c r="R343">
        <v>1394</v>
      </c>
      <c r="S343">
        <v>1</v>
      </c>
      <c r="T343">
        <v>1472</v>
      </c>
      <c r="U343">
        <v>2.9</v>
      </c>
    </row>
    <row r="344" spans="1:21" x14ac:dyDescent="0.35">
      <c r="A344" t="s">
        <v>406</v>
      </c>
      <c r="B344" t="s">
        <v>35</v>
      </c>
      <c r="C344" s="32">
        <v>45152</v>
      </c>
      <c r="D344" t="s">
        <v>142</v>
      </c>
      <c r="E344" t="s">
        <v>50</v>
      </c>
      <c r="F344" t="s">
        <v>124</v>
      </c>
      <c r="G344" t="s">
        <v>55</v>
      </c>
      <c r="H344" t="s">
        <v>64</v>
      </c>
      <c r="I344" t="s">
        <v>67</v>
      </c>
      <c r="J344" t="s">
        <v>103</v>
      </c>
      <c r="K344">
        <v>3</v>
      </c>
      <c r="L344">
        <v>1768</v>
      </c>
      <c r="M344">
        <v>5304</v>
      </c>
      <c r="N344">
        <v>25</v>
      </c>
      <c r="O344">
        <v>1326</v>
      </c>
      <c r="P344">
        <v>3978</v>
      </c>
      <c r="Q344">
        <v>2520</v>
      </c>
      <c r="R344">
        <v>1458</v>
      </c>
      <c r="S344">
        <v>1</v>
      </c>
      <c r="T344">
        <v>1326</v>
      </c>
      <c r="U344">
        <v>4.9000000000000004</v>
      </c>
    </row>
    <row r="345" spans="1:21" x14ac:dyDescent="0.35">
      <c r="A345" t="s">
        <v>417</v>
      </c>
      <c r="B345" t="s">
        <v>35</v>
      </c>
      <c r="C345" s="32">
        <v>45160</v>
      </c>
      <c r="D345" t="s">
        <v>105</v>
      </c>
      <c r="E345" t="s">
        <v>58</v>
      </c>
      <c r="F345" t="s">
        <v>106</v>
      </c>
      <c r="G345" t="s">
        <v>57</v>
      </c>
      <c r="H345" t="s">
        <v>68</v>
      </c>
      <c r="I345" t="s">
        <v>67</v>
      </c>
      <c r="J345" t="s">
        <v>99</v>
      </c>
      <c r="K345">
        <v>2</v>
      </c>
      <c r="L345">
        <v>2358</v>
      </c>
      <c r="M345">
        <v>4716</v>
      </c>
      <c r="N345">
        <v>40</v>
      </c>
      <c r="O345">
        <v>1886</v>
      </c>
      <c r="P345">
        <v>2830</v>
      </c>
      <c r="Q345">
        <v>1499</v>
      </c>
      <c r="R345">
        <v>1331</v>
      </c>
      <c r="S345">
        <v>1</v>
      </c>
      <c r="T345">
        <v>1415</v>
      </c>
      <c r="U345">
        <v>2.6</v>
      </c>
    </row>
    <row r="346" spans="1:21" x14ac:dyDescent="0.35">
      <c r="A346" t="s">
        <v>422</v>
      </c>
      <c r="B346" t="s">
        <v>35</v>
      </c>
      <c r="C346" s="32">
        <v>45163</v>
      </c>
      <c r="D346" t="s">
        <v>142</v>
      </c>
      <c r="E346" t="s">
        <v>50</v>
      </c>
      <c r="F346" t="s">
        <v>151</v>
      </c>
      <c r="G346" t="s">
        <v>51</v>
      </c>
      <c r="H346" t="s">
        <v>66</v>
      </c>
      <c r="I346" t="s">
        <v>67</v>
      </c>
      <c r="J346" t="s">
        <v>103</v>
      </c>
      <c r="K346">
        <v>13</v>
      </c>
      <c r="L346">
        <v>2642</v>
      </c>
      <c r="M346">
        <v>34346</v>
      </c>
      <c r="N346">
        <v>40</v>
      </c>
      <c r="O346">
        <v>13738</v>
      </c>
      <c r="P346">
        <v>20608</v>
      </c>
      <c r="Q346">
        <v>13189</v>
      </c>
      <c r="R346">
        <v>7419</v>
      </c>
      <c r="S346">
        <v>1</v>
      </c>
      <c r="T346">
        <v>1585</v>
      </c>
      <c r="U346">
        <v>3.2</v>
      </c>
    </row>
    <row r="347" spans="1:21" x14ac:dyDescent="0.35">
      <c r="A347" t="s">
        <v>423</v>
      </c>
      <c r="B347" t="s">
        <v>35</v>
      </c>
      <c r="C347" s="32">
        <v>45163</v>
      </c>
      <c r="D347" t="s">
        <v>142</v>
      </c>
      <c r="E347" t="s">
        <v>59</v>
      </c>
      <c r="F347" t="s">
        <v>111</v>
      </c>
      <c r="G347" t="s">
        <v>55</v>
      </c>
      <c r="H347" t="s">
        <v>66</v>
      </c>
      <c r="I347" t="s">
        <v>67</v>
      </c>
      <c r="J347" t="s">
        <v>103</v>
      </c>
      <c r="K347">
        <v>12</v>
      </c>
      <c r="L347">
        <v>1584</v>
      </c>
      <c r="M347">
        <v>19008</v>
      </c>
      <c r="N347">
        <v>40</v>
      </c>
      <c r="O347">
        <v>7603</v>
      </c>
      <c r="P347">
        <v>11405</v>
      </c>
      <c r="Q347">
        <v>7927</v>
      </c>
      <c r="R347">
        <v>3478</v>
      </c>
      <c r="S347">
        <v>1</v>
      </c>
      <c r="T347">
        <v>950</v>
      </c>
      <c r="U347">
        <v>3.6</v>
      </c>
    </row>
    <row r="348" spans="1:21" x14ac:dyDescent="0.35">
      <c r="A348" t="s">
        <v>427</v>
      </c>
      <c r="B348" t="s">
        <v>35</v>
      </c>
      <c r="C348" s="32">
        <v>45167</v>
      </c>
      <c r="D348" t="s">
        <v>93</v>
      </c>
      <c r="E348" t="s">
        <v>54</v>
      </c>
      <c r="F348" t="s">
        <v>151</v>
      </c>
      <c r="G348" t="s">
        <v>51</v>
      </c>
      <c r="H348" t="s">
        <v>68</v>
      </c>
      <c r="I348" t="s">
        <v>67</v>
      </c>
      <c r="J348" t="s">
        <v>103</v>
      </c>
      <c r="K348">
        <v>14</v>
      </c>
      <c r="L348">
        <v>2433</v>
      </c>
      <c r="M348">
        <v>34062</v>
      </c>
      <c r="N348">
        <v>15</v>
      </c>
      <c r="O348">
        <v>5109</v>
      </c>
      <c r="P348">
        <v>28953</v>
      </c>
      <c r="Q348">
        <v>19716</v>
      </c>
      <c r="R348">
        <v>9237</v>
      </c>
      <c r="S348">
        <v>1</v>
      </c>
      <c r="T348">
        <v>2068</v>
      </c>
      <c r="U348">
        <v>3.6</v>
      </c>
    </row>
    <row r="349" spans="1:21" x14ac:dyDescent="0.35">
      <c r="A349" t="s">
        <v>433</v>
      </c>
      <c r="B349" t="s">
        <v>36</v>
      </c>
      <c r="C349" s="32">
        <v>45170</v>
      </c>
      <c r="D349" t="s">
        <v>97</v>
      </c>
      <c r="E349" t="s">
        <v>48</v>
      </c>
      <c r="F349" t="s">
        <v>151</v>
      </c>
      <c r="G349" t="s">
        <v>57</v>
      </c>
      <c r="H349" t="s">
        <v>68</v>
      </c>
      <c r="I349" t="s">
        <v>67</v>
      </c>
      <c r="J349" t="s">
        <v>95</v>
      </c>
      <c r="K349">
        <v>7</v>
      </c>
      <c r="L349">
        <v>2658</v>
      </c>
      <c r="M349">
        <v>18606</v>
      </c>
      <c r="N349">
        <v>10</v>
      </c>
      <c r="O349">
        <v>1861</v>
      </c>
      <c r="P349">
        <v>16745</v>
      </c>
      <c r="Q349">
        <v>10725</v>
      </c>
      <c r="R349">
        <v>6020</v>
      </c>
      <c r="S349">
        <v>1</v>
      </c>
      <c r="T349">
        <v>2392</v>
      </c>
      <c r="U349">
        <v>3.9</v>
      </c>
    </row>
    <row r="350" spans="1:21" x14ac:dyDescent="0.35">
      <c r="A350" t="s">
        <v>437</v>
      </c>
      <c r="B350" t="s">
        <v>36</v>
      </c>
      <c r="C350" s="32">
        <v>45173</v>
      </c>
      <c r="D350" t="s">
        <v>97</v>
      </c>
      <c r="E350" t="s">
        <v>48</v>
      </c>
      <c r="F350" t="s">
        <v>106</v>
      </c>
      <c r="G350" t="s">
        <v>49</v>
      </c>
      <c r="H350" t="s">
        <v>68</v>
      </c>
      <c r="I350" t="s">
        <v>67</v>
      </c>
      <c r="J350" t="s">
        <v>99</v>
      </c>
      <c r="K350">
        <v>7</v>
      </c>
      <c r="L350">
        <v>1520</v>
      </c>
      <c r="M350">
        <v>10640</v>
      </c>
      <c r="N350">
        <v>20</v>
      </c>
      <c r="O350">
        <v>2128</v>
      </c>
      <c r="P350">
        <v>8512</v>
      </c>
      <c r="Q350">
        <v>3853</v>
      </c>
      <c r="R350">
        <v>4659</v>
      </c>
      <c r="S350">
        <v>0</v>
      </c>
      <c r="T350">
        <v>0</v>
      </c>
      <c r="U350">
        <v>3.4</v>
      </c>
    </row>
    <row r="351" spans="1:21" x14ac:dyDescent="0.35">
      <c r="A351" t="s">
        <v>450</v>
      </c>
      <c r="B351" t="s">
        <v>36</v>
      </c>
      <c r="C351" s="32">
        <v>45180</v>
      </c>
      <c r="D351" t="s">
        <v>142</v>
      </c>
      <c r="E351" t="s">
        <v>59</v>
      </c>
      <c r="F351" t="s">
        <v>111</v>
      </c>
      <c r="G351" t="s">
        <v>57</v>
      </c>
      <c r="H351" t="s">
        <v>66</v>
      </c>
      <c r="I351" t="s">
        <v>67</v>
      </c>
      <c r="J351" t="s">
        <v>95</v>
      </c>
      <c r="K351">
        <v>14</v>
      </c>
      <c r="L351">
        <v>4271</v>
      </c>
      <c r="M351">
        <v>59794</v>
      </c>
      <c r="N351">
        <v>5</v>
      </c>
      <c r="O351">
        <v>2990</v>
      </c>
      <c r="P351">
        <v>56804</v>
      </c>
      <c r="Q351">
        <v>33031</v>
      </c>
      <c r="R351">
        <v>23773</v>
      </c>
      <c r="S351">
        <v>3</v>
      </c>
      <c r="T351">
        <v>12172</v>
      </c>
      <c r="U351">
        <v>2.5</v>
      </c>
    </row>
    <row r="352" spans="1:21" x14ac:dyDescent="0.35">
      <c r="A352" t="s">
        <v>451</v>
      </c>
      <c r="B352" t="s">
        <v>36</v>
      </c>
      <c r="C352" s="32">
        <v>45181</v>
      </c>
      <c r="D352" t="s">
        <v>142</v>
      </c>
      <c r="E352" t="s">
        <v>56</v>
      </c>
      <c r="F352" t="s">
        <v>102</v>
      </c>
      <c r="G352" t="s">
        <v>53</v>
      </c>
      <c r="H352" t="s">
        <v>66</v>
      </c>
      <c r="I352" t="s">
        <v>67</v>
      </c>
      <c r="J352" t="s">
        <v>99</v>
      </c>
      <c r="K352">
        <v>4</v>
      </c>
      <c r="L352">
        <v>4081</v>
      </c>
      <c r="M352">
        <v>16324</v>
      </c>
      <c r="N352">
        <v>30</v>
      </c>
      <c r="O352">
        <v>4897</v>
      </c>
      <c r="P352">
        <v>11427</v>
      </c>
      <c r="Q352">
        <v>5992</v>
      </c>
      <c r="R352">
        <v>5435</v>
      </c>
      <c r="S352">
        <v>0</v>
      </c>
      <c r="T352">
        <v>0</v>
      </c>
      <c r="U352">
        <v>4.2</v>
      </c>
    </row>
    <row r="353" spans="1:21" x14ac:dyDescent="0.35">
      <c r="A353" t="s">
        <v>454</v>
      </c>
      <c r="B353" t="s">
        <v>36</v>
      </c>
      <c r="C353" s="32">
        <v>45182</v>
      </c>
      <c r="D353" t="s">
        <v>142</v>
      </c>
      <c r="E353" t="s">
        <v>48</v>
      </c>
      <c r="F353" t="s">
        <v>116</v>
      </c>
      <c r="G353" t="s">
        <v>57</v>
      </c>
      <c r="H353" t="s">
        <v>64</v>
      </c>
      <c r="I353" t="s">
        <v>67</v>
      </c>
      <c r="J353" t="s">
        <v>99</v>
      </c>
      <c r="K353">
        <v>12</v>
      </c>
      <c r="L353">
        <v>2396</v>
      </c>
      <c r="M353">
        <v>28752</v>
      </c>
      <c r="N353">
        <v>20</v>
      </c>
      <c r="O353">
        <v>5750</v>
      </c>
      <c r="P353">
        <v>23002</v>
      </c>
      <c r="Q353">
        <v>14342</v>
      </c>
      <c r="R353">
        <v>8660</v>
      </c>
      <c r="S353">
        <v>3</v>
      </c>
      <c r="T353">
        <v>5750</v>
      </c>
      <c r="U353">
        <v>3</v>
      </c>
    </row>
    <row r="354" spans="1:21" x14ac:dyDescent="0.35">
      <c r="A354" t="s">
        <v>462</v>
      </c>
      <c r="B354" t="s">
        <v>36</v>
      </c>
      <c r="C354" s="32">
        <v>45186</v>
      </c>
      <c r="D354" t="s">
        <v>142</v>
      </c>
      <c r="E354" t="s">
        <v>54</v>
      </c>
      <c r="F354" t="s">
        <v>111</v>
      </c>
      <c r="G354" t="s">
        <v>57</v>
      </c>
      <c r="H354" t="s">
        <v>64</v>
      </c>
      <c r="I354" t="s">
        <v>67</v>
      </c>
      <c r="J354" t="s">
        <v>95</v>
      </c>
      <c r="K354">
        <v>8</v>
      </c>
      <c r="L354">
        <v>900</v>
      </c>
      <c r="M354">
        <v>7200</v>
      </c>
      <c r="N354">
        <v>20</v>
      </c>
      <c r="O354">
        <v>1440</v>
      </c>
      <c r="P354">
        <v>5760</v>
      </c>
      <c r="Q354">
        <v>3636</v>
      </c>
      <c r="R354">
        <v>2124</v>
      </c>
      <c r="S354">
        <v>2</v>
      </c>
      <c r="T354">
        <v>1440</v>
      </c>
      <c r="U354">
        <v>4.4000000000000004</v>
      </c>
    </row>
    <row r="355" spans="1:21" x14ac:dyDescent="0.35">
      <c r="A355" t="s">
        <v>469</v>
      </c>
      <c r="B355" t="s">
        <v>36</v>
      </c>
      <c r="C355" s="32">
        <v>45194</v>
      </c>
      <c r="D355" t="s">
        <v>122</v>
      </c>
      <c r="E355" t="s">
        <v>54</v>
      </c>
      <c r="F355" t="s">
        <v>108</v>
      </c>
      <c r="G355" t="s">
        <v>51</v>
      </c>
      <c r="H355" t="s">
        <v>66</v>
      </c>
      <c r="I355" t="s">
        <v>67</v>
      </c>
      <c r="J355" t="s">
        <v>95</v>
      </c>
      <c r="K355">
        <v>5</v>
      </c>
      <c r="L355">
        <v>2159</v>
      </c>
      <c r="M355">
        <v>10795</v>
      </c>
      <c r="N355">
        <v>20</v>
      </c>
      <c r="O355">
        <v>2159</v>
      </c>
      <c r="P355">
        <v>8636</v>
      </c>
      <c r="Q355">
        <v>4873</v>
      </c>
      <c r="R355">
        <v>3763</v>
      </c>
      <c r="S355">
        <v>0</v>
      </c>
      <c r="T355">
        <v>0</v>
      </c>
      <c r="U355">
        <v>2.5</v>
      </c>
    </row>
    <row r="356" spans="1:21" x14ac:dyDescent="0.35">
      <c r="A356" t="s">
        <v>471</v>
      </c>
      <c r="B356" t="s">
        <v>36</v>
      </c>
      <c r="C356" s="32">
        <v>45195</v>
      </c>
      <c r="D356" t="s">
        <v>120</v>
      </c>
      <c r="E356" t="s">
        <v>50</v>
      </c>
      <c r="F356" t="s">
        <v>111</v>
      </c>
      <c r="G356" t="s">
        <v>57</v>
      </c>
      <c r="H356" t="s">
        <v>68</v>
      </c>
      <c r="I356" t="s">
        <v>67</v>
      </c>
      <c r="J356" t="s">
        <v>95</v>
      </c>
      <c r="K356">
        <v>13</v>
      </c>
      <c r="L356">
        <v>828</v>
      </c>
      <c r="M356">
        <v>10764</v>
      </c>
      <c r="N356">
        <v>10</v>
      </c>
      <c r="O356">
        <v>1076</v>
      </c>
      <c r="P356">
        <v>9688</v>
      </c>
      <c r="Q356">
        <v>6130</v>
      </c>
      <c r="R356">
        <v>3558</v>
      </c>
      <c r="S356">
        <v>2</v>
      </c>
      <c r="T356">
        <v>1490</v>
      </c>
      <c r="U356">
        <v>4.3</v>
      </c>
    </row>
    <row r="357" spans="1:21" x14ac:dyDescent="0.35">
      <c r="A357" t="s">
        <v>478</v>
      </c>
      <c r="B357" t="s">
        <v>36</v>
      </c>
      <c r="C357" s="32">
        <v>45198</v>
      </c>
      <c r="D357" t="s">
        <v>105</v>
      </c>
      <c r="E357" t="s">
        <v>50</v>
      </c>
      <c r="F357" t="s">
        <v>102</v>
      </c>
      <c r="G357" t="s">
        <v>49</v>
      </c>
      <c r="H357" t="s">
        <v>64</v>
      </c>
      <c r="I357" t="s">
        <v>67</v>
      </c>
      <c r="J357" t="s">
        <v>99</v>
      </c>
      <c r="K357">
        <v>4</v>
      </c>
      <c r="L357">
        <v>4550</v>
      </c>
      <c r="M357">
        <v>18200</v>
      </c>
      <c r="N357">
        <v>15</v>
      </c>
      <c r="O357">
        <v>2730</v>
      </c>
      <c r="P357">
        <v>15470</v>
      </c>
      <c r="Q357">
        <v>10670</v>
      </c>
      <c r="R357">
        <v>4800</v>
      </c>
      <c r="S357">
        <v>1</v>
      </c>
      <c r="T357">
        <v>3868</v>
      </c>
      <c r="U357">
        <v>3.5</v>
      </c>
    </row>
    <row r="358" spans="1:21" x14ac:dyDescent="0.35">
      <c r="A358" t="s">
        <v>479</v>
      </c>
      <c r="B358" t="s">
        <v>36</v>
      </c>
      <c r="C358" s="32">
        <v>45198</v>
      </c>
      <c r="D358" t="s">
        <v>115</v>
      </c>
      <c r="E358" t="s">
        <v>56</v>
      </c>
      <c r="F358" t="s">
        <v>151</v>
      </c>
      <c r="G358" t="s">
        <v>49</v>
      </c>
      <c r="H358" t="s">
        <v>66</v>
      </c>
      <c r="I358" t="s">
        <v>67</v>
      </c>
      <c r="J358" t="s">
        <v>99</v>
      </c>
      <c r="K358">
        <v>10</v>
      </c>
      <c r="L358">
        <v>4614</v>
      </c>
      <c r="M358">
        <v>46140</v>
      </c>
      <c r="N358">
        <v>20</v>
      </c>
      <c r="O358">
        <v>9228</v>
      </c>
      <c r="P358">
        <v>36912</v>
      </c>
      <c r="Q358">
        <v>19701</v>
      </c>
      <c r="R358">
        <v>17211</v>
      </c>
      <c r="S358">
        <v>1</v>
      </c>
      <c r="T358">
        <v>3691</v>
      </c>
      <c r="U358">
        <v>4.5</v>
      </c>
    </row>
    <row r="359" spans="1:21" x14ac:dyDescent="0.35">
      <c r="A359" t="s">
        <v>482</v>
      </c>
      <c r="B359" t="s">
        <v>37</v>
      </c>
      <c r="C359" s="32">
        <v>45202</v>
      </c>
      <c r="D359" t="s">
        <v>115</v>
      </c>
      <c r="E359" t="s">
        <v>48</v>
      </c>
      <c r="F359" t="s">
        <v>98</v>
      </c>
      <c r="G359" t="s">
        <v>53</v>
      </c>
      <c r="H359" t="s">
        <v>64</v>
      </c>
      <c r="I359" t="s">
        <v>67</v>
      </c>
      <c r="J359" t="s">
        <v>95</v>
      </c>
      <c r="K359">
        <v>7</v>
      </c>
      <c r="L359">
        <v>4555</v>
      </c>
      <c r="M359">
        <v>31885</v>
      </c>
      <c r="N359">
        <v>50</v>
      </c>
      <c r="O359">
        <v>15942</v>
      </c>
      <c r="P359">
        <v>15943</v>
      </c>
      <c r="Q359">
        <v>7742</v>
      </c>
      <c r="R359">
        <v>8201</v>
      </c>
      <c r="S359">
        <v>0</v>
      </c>
      <c r="T359">
        <v>0</v>
      </c>
      <c r="U359">
        <v>3.1</v>
      </c>
    </row>
    <row r="360" spans="1:21" x14ac:dyDescent="0.35">
      <c r="A360" t="s">
        <v>483</v>
      </c>
      <c r="B360" t="s">
        <v>37</v>
      </c>
      <c r="C360" s="32">
        <v>45203</v>
      </c>
      <c r="D360" t="s">
        <v>101</v>
      </c>
      <c r="E360" t="s">
        <v>58</v>
      </c>
      <c r="F360" t="s">
        <v>102</v>
      </c>
      <c r="G360" t="s">
        <v>49</v>
      </c>
      <c r="H360" t="s">
        <v>66</v>
      </c>
      <c r="I360" t="s">
        <v>67</v>
      </c>
      <c r="J360" t="s">
        <v>99</v>
      </c>
      <c r="K360">
        <v>1</v>
      </c>
      <c r="L360">
        <v>825</v>
      </c>
      <c r="M360">
        <v>825</v>
      </c>
      <c r="N360">
        <v>25</v>
      </c>
      <c r="O360">
        <v>206</v>
      </c>
      <c r="P360">
        <v>619</v>
      </c>
      <c r="Q360">
        <v>415</v>
      </c>
      <c r="R360">
        <v>204</v>
      </c>
      <c r="S360">
        <v>1</v>
      </c>
      <c r="T360">
        <v>619</v>
      </c>
      <c r="U360">
        <v>3.1</v>
      </c>
    </row>
    <row r="361" spans="1:21" x14ac:dyDescent="0.35">
      <c r="A361" t="s">
        <v>484</v>
      </c>
      <c r="B361" t="s">
        <v>37</v>
      </c>
      <c r="C361" s="32">
        <v>45203</v>
      </c>
      <c r="D361" t="s">
        <v>142</v>
      </c>
      <c r="E361" t="s">
        <v>52</v>
      </c>
      <c r="F361" t="s">
        <v>151</v>
      </c>
      <c r="G361" t="s">
        <v>51</v>
      </c>
      <c r="H361" t="s">
        <v>66</v>
      </c>
      <c r="I361" t="s">
        <v>67</v>
      </c>
      <c r="J361" t="s">
        <v>95</v>
      </c>
      <c r="K361">
        <v>14</v>
      </c>
      <c r="L361">
        <v>4606</v>
      </c>
      <c r="M361">
        <v>64484</v>
      </c>
      <c r="N361">
        <v>25</v>
      </c>
      <c r="O361">
        <v>16121</v>
      </c>
      <c r="P361">
        <v>48363</v>
      </c>
      <c r="Q361">
        <v>28745</v>
      </c>
      <c r="R361">
        <v>19618</v>
      </c>
      <c r="S361">
        <v>2</v>
      </c>
      <c r="T361">
        <v>6909</v>
      </c>
      <c r="U361">
        <v>3.1</v>
      </c>
    </row>
    <row r="362" spans="1:21" x14ac:dyDescent="0.35">
      <c r="A362" t="s">
        <v>491</v>
      </c>
      <c r="B362" t="s">
        <v>37</v>
      </c>
      <c r="C362" s="32">
        <v>45206</v>
      </c>
      <c r="D362" t="s">
        <v>113</v>
      </c>
      <c r="E362" t="s">
        <v>54</v>
      </c>
      <c r="F362" t="s">
        <v>111</v>
      </c>
      <c r="G362" t="s">
        <v>53</v>
      </c>
      <c r="H362" t="s">
        <v>66</v>
      </c>
      <c r="I362" t="s">
        <v>67</v>
      </c>
      <c r="J362" t="s">
        <v>95</v>
      </c>
      <c r="K362">
        <v>9</v>
      </c>
      <c r="L362">
        <v>4410</v>
      </c>
      <c r="M362">
        <v>39690</v>
      </c>
      <c r="N362">
        <v>10</v>
      </c>
      <c r="O362">
        <v>3969</v>
      </c>
      <c r="P362">
        <v>35721</v>
      </c>
      <c r="Q362">
        <v>17175</v>
      </c>
      <c r="R362">
        <v>18546</v>
      </c>
      <c r="S362">
        <v>0</v>
      </c>
      <c r="T362">
        <v>0</v>
      </c>
      <c r="U362">
        <v>3.9</v>
      </c>
    </row>
    <row r="363" spans="1:21" x14ac:dyDescent="0.35">
      <c r="A363" t="s">
        <v>492</v>
      </c>
      <c r="B363" t="s">
        <v>37</v>
      </c>
      <c r="C363" s="32">
        <v>45206</v>
      </c>
      <c r="D363" t="s">
        <v>122</v>
      </c>
      <c r="E363" t="s">
        <v>52</v>
      </c>
      <c r="F363" t="s">
        <v>116</v>
      </c>
      <c r="G363" t="s">
        <v>57</v>
      </c>
      <c r="H363" t="s">
        <v>66</v>
      </c>
      <c r="I363" t="s">
        <v>67</v>
      </c>
      <c r="J363" t="s">
        <v>99</v>
      </c>
      <c r="K363">
        <v>8</v>
      </c>
      <c r="L363">
        <v>2402</v>
      </c>
      <c r="M363">
        <v>19216</v>
      </c>
      <c r="N363">
        <v>30</v>
      </c>
      <c r="O363">
        <v>5765</v>
      </c>
      <c r="P363">
        <v>13451</v>
      </c>
      <c r="Q363">
        <v>6054</v>
      </c>
      <c r="R363">
        <v>7397</v>
      </c>
      <c r="S363">
        <v>0</v>
      </c>
      <c r="T363">
        <v>0</v>
      </c>
      <c r="U363">
        <v>5</v>
      </c>
    </row>
    <row r="364" spans="1:21" x14ac:dyDescent="0.35">
      <c r="A364" t="s">
        <v>495</v>
      </c>
      <c r="B364" t="s">
        <v>37</v>
      </c>
      <c r="C364" s="32">
        <v>45208</v>
      </c>
      <c r="D364" t="s">
        <v>93</v>
      </c>
      <c r="E364" t="s">
        <v>59</v>
      </c>
      <c r="F364" t="s">
        <v>124</v>
      </c>
      <c r="G364" t="s">
        <v>49</v>
      </c>
      <c r="H364" t="s">
        <v>68</v>
      </c>
      <c r="I364" t="s">
        <v>67</v>
      </c>
      <c r="J364" t="s">
        <v>99</v>
      </c>
      <c r="K364">
        <v>2</v>
      </c>
      <c r="L364">
        <v>4859</v>
      </c>
      <c r="M364">
        <v>9718</v>
      </c>
      <c r="N364">
        <v>30</v>
      </c>
      <c r="O364">
        <v>2915</v>
      </c>
      <c r="P364">
        <v>6803</v>
      </c>
      <c r="Q364">
        <v>4532</v>
      </c>
      <c r="R364">
        <v>2271</v>
      </c>
      <c r="S364">
        <v>0</v>
      </c>
      <c r="T364">
        <v>0</v>
      </c>
      <c r="U364">
        <v>4.0999999999999996</v>
      </c>
    </row>
    <row r="365" spans="1:21" x14ac:dyDescent="0.35">
      <c r="A365" t="s">
        <v>496</v>
      </c>
      <c r="B365" t="s">
        <v>37</v>
      </c>
      <c r="C365" s="32">
        <v>45208</v>
      </c>
      <c r="D365" t="s">
        <v>115</v>
      </c>
      <c r="E365" t="s">
        <v>54</v>
      </c>
      <c r="F365" t="s">
        <v>102</v>
      </c>
      <c r="G365" t="s">
        <v>57</v>
      </c>
      <c r="H365" t="s">
        <v>68</v>
      </c>
      <c r="I365" t="s">
        <v>67</v>
      </c>
      <c r="J365" t="s">
        <v>99</v>
      </c>
      <c r="K365">
        <v>4</v>
      </c>
      <c r="L365">
        <v>3149</v>
      </c>
      <c r="M365">
        <v>12596</v>
      </c>
      <c r="N365">
        <v>15</v>
      </c>
      <c r="O365">
        <v>1889</v>
      </c>
      <c r="P365">
        <v>10707</v>
      </c>
      <c r="Q365">
        <v>6035</v>
      </c>
      <c r="R365">
        <v>4672</v>
      </c>
      <c r="S365">
        <v>1</v>
      </c>
      <c r="T365">
        <v>2677</v>
      </c>
      <c r="U365">
        <v>3.9</v>
      </c>
    </row>
    <row r="366" spans="1:21" x14ac:dyDescent="0.35">
      <c r="A366" t="s">
        <v>497</v>
      </c>
      <c r="B366" t="s">
        <v>37</v>
      </c>
      <c r="C366" s="32">
        <v>45208</v>
      </c>
      <c r="D366" t="s">
        <v>131</v>
      </c>
      <c r="E366" t="s">
        <v>48</v>
      </c>
      <c r="F366" t="s">
        <v>98</v>
      </c>
      <c r="G366" t="s">
        <v>53</v>
      </c>
      <c r="H366" t="s">
        <v>68</v>
      </c>
      <c r="I366" t="s">
        <v>67</v>
      </c>
      <c r="J366" t="s">
        <v>95</v>
      </c>
      <c r="K366">
        <v>6</v>
      </c>
      <c r="L366">
        <v>4470</v>
      </c>
      <c r="M366">
        <v>26820</v>
      </c>
      <c r="N366">
        <v>15</v>
      </c>
      <c r="O366">
        <v>4023</v>
      </c>
      <c r="P366">
        <v>22797</v>
      </c>
      <c r="Q366">
        <v>15806</v>
      </c>
      <c r="R366">
        <v>6991</v>
      </c>
      <c r="S366">
        <v>0</v>
      </c>
      <c r="T366">
        <v>0</v>
      </c>
      <c r="U366">
        <v>4.0999999999999996</v>
      </c>
    </row>
    <row r="367" spans="1:21" x14ac:dyDescent="0.35">
      <c r="A367" t="s">
        <v>505</v>
      </c>
      <c r="B367" t="s">
        <v>37</v>
      </c>
      <c r="C367" s="32">
        <v>45211</v>
      </c>
      <c r="D367" t="s">
        <v>97</v>
      </c>
      <c r="E367" t="s">
        <v>50</v>
      </c>
      <c r="F367" t="s">
        <v>94</v>
      </c>
      <c r="G367" t="s">
        <v>55</v>
      </c>
      <c r="H367" t="s">
        <v>64</v>
      </c>
      <c r="I367" t="s">
        <v>67</v>
      </c>
      <c r="J367" t="s">
        <v>103</v>
      </c>
      <c r="K367">
        <v>3</v>
      </c>
      <c r="L367">
        <v>930</v>
      </c>
      <c r="M367">
        <v>2790</v>
      </c>
      <c r="N367">
        <v>5</v>
      </c>
      <c r="O367">
        <v>140</v>
      </c>
      <c r="P367">
        <v>2650</v>
      </c>
      <c r="Q367">
        <v>1622</v>
      </c>
      <c r="R367">
        <v>1028</v>
      </c>
      <c r="S367">
        <v>0</v>
      </c>
      <c r="T367">
        <v>0</v>
      </c>
      <c r="U367">
        <v>4.3</v>
      </c>
    </row>
    <row r="368" spans="1:21" x14ac:dyDescent="0.35">
      <c r="A368" t="s">
        <v>506</v>
      </c>
      <c r="B368" t="s">
        <v>37</v>
      </c>
      <c r="C368" s="32">
        <v>45212</v>
      </c>
      <c r="D368" t="s">
        <v>101</v>
      </c>
      <c r="E368" t="s">
        <v>54</v>
      </c>
      <c r="F368" t="s">
        <v>98</v>
      </c>
      <c r="G368" t="s">
        <v>55</v>
      </c>
      <c r="H368" t="s">
        <v>64</v>
      </c>
      <c r="I368" t="s">
        <v>67</v>
      </c>
      <c r="J368" t="s">
        <v>103</v>
      </c>
      <c r="K368">
        <v>2</v>
      </c>
      <c r="L368">
        <v>2436</v>
      </c>
      <c r="M368">
        <v>4872</v>
      </c>
      <c r="N368">
        <v>20</v>
      </c>
      <c r="O368">
        <v>974</v>
      </c>
      <c r="P368">
        <v>3898</v>
      </c>
      <c r="Q368">
        <v>2324</v>
      </c>
      <c r="R368">
        <v>1574</v>
      </c>
      <c r="S368">
        <v>1</v>
      </c>
      <c r="T368">
        <v>1949</v>
      </c>
      <c r="U368">
        <v>2.8</v>
      </c>
    </row>
    <row r="369" spans="1:21" x14ac:dyDescent="0.35">
      <c r="A369" t="s">
        <v>518</v>
      </c>
      <c r="B369" t="s">
        <v>37</v>
      </c>
      <c r="C369" s="32">
        <v>45222</v>
      </c>
      <c r="D369" t="s">
        <v>131</v>
      </c>
      <c r="E369" t="s">
        <v>56</v>
      </c>
      <c r="F369" t="s">
        <v>134</v>
      </c>
      <c r="G369" t="s">
        <v>51</v>
      </c>
      <c r="H369" t="s">
        <v>66</v>
      </c>
      <c r="I369" t="s">
        <v>67</v>
      </c>
      <c r="J369" t="s">
        <v>103</v>
      </c>
      <c r="K369">
        <v>9</v>
      </c>
      <c r="L369">
        <v>3534</v>
      </c>
      <c r="M369">
        <v>31806</v>
      </c>
      <c r="N369">
        <v>5</v>
      </c>
      <c r="O369">
        <v>1590</v>
      </c>
      <c r="P369">
        <v>30216</v>
      </c>
      <c r="Q369">
        <v>16867</v>
      </c>
      <c r="R369">
        <v>13349</v>
      </c>
      <c r="S369">
        <v>2</v>
      </c>
      <c r="T369">
        <v>6715</v>
      </c>
      <c r="U369">
        <v>3.1</v>
      </c>
    </row>
    <row r="370" spans="1:21" x14ac:dyDescent="0.35">
      <c r="A370" t="s">
        <v>520</v>
      </c>
      <c r="B370" t="s">
        <v>37</v>
      </c>
      <c r="C370" s="32">
        <v>45223</v>
      </c>
      <c r="D370" t="s">
        <v>131</v>
      </c>
      <c r="E370" t="s">
        <v>50</v>
      </c>
      <c r="F370" t="s">
        <v>134</v>
      </c>
      <c r="G370" t="s">
        <v>57</v>
      </c>
      <c r="H370" t="s">
        <v>68</v>
      </c>
      <c r="I370" t="s">
        <v>67</v>
      </c>
      <c r="J370" t="s">
        <v>95</v>
      </c>
      <c r="K370">
        <v>8</v>
      </c>
      <c r="L370">
        <v>620</v>
      </c>
      <c r="M370">
        <v>4960</v>
      </c>
      <c r="N370">
        <v>40</v>
      </c>
      <c r="O370">
        <v>1984</v>
      </c>
      <c r="P370">
        <v>2976</v>
      </c>
      <c r="Q370">
        <v>1809</v>
      </c>
      <c r="R370">
        <v>1167</v>
      </c>
      <c r="S370">
        <v>1</v>
      </c>
      <c r="T370">
        <v>372</v>
      </c>
      <c r="U370">
        <v>4</v>
      </c>
    </row>
    <row r="371" spans="1:21" x14ac:dyDescent="0.35">
      <c r="A371" t="s">
        <v>522</v>
      </c>
      <c r="B371" t="s">
        <v>37</v>
      </c>
      <c r="C371" s="32">
        <v>45225</v>
      </c>
      <c r="D371" t="s">
        <v>93</v>
      </c>
      <c r="E371" t="s">
        <v>56</v>
      </c>
      <c r="F371" t="s">
        <v>134</v>
      </c>
      <c r="G371" t="s">
        <v>49</v>
      </c>
      <c r="H371" t="s">
        <v>68</v>
      </c>
      <c r="I371" t="s">
        <v>67</v>
      </c>
      <c r="J371" t="s">
        <v>103</v>
      </c>
      <c r="K371">
        <v>4</v>
      </c>
      <c r="L371">
        <v>591</v>
      </c>
      <c r="M371">
        <v>2364</v>
      </c>
      <c r="N371">
        <v>5</v>
      </c>
      <c r="O371">
        <v>118</v>
      </c>
      <c r="P371">
        <v>2246</v>
      </c>
      <c r="Q371">
        <v>1272</v>
      </c>
      <c r="R371">
        <v>974</v>
      </c>
      <c r="S371">
        <v>0</v>
      </c>
      <c r="T371">
        <v>0</v>
      </c>
      <c r="U371">
        <v>3.5</v>
      </c>
    </row>
    <row r="372" spans="1:21" x14ac:dyDescent="0.35">
      <c r="A372" t="s">
        <v>531</v>
      </c>
      <c r="B372" t="s">
        <v>38</v>
      </c>
      <c r="C372" s="32">
        <v>45233</v>
      </c>
      <c r="D372" t="s">
        <v>142</v>
      </c>
      <c r="E372" t="s">
        <v>58</v>
      </c>
      <c r="F372" t="s">
        <v>94</v>
      </c>
      <c r="G372" t="s">
        <v>55</v>
      </c>
      <c r="H372" t="s">
        <v>64</v>
      </c>
      <c r="I372" t="s">
        <v>67</v>
      </c>
      <c r="J372" t="s">
        <v>99</v>
      </c>
      <c r="K372">
        <v>7</v>
      </c>
      <c r="L372">
        <v>3961</v>
      </c>
      <c r="M372">
        <v>27727</v>
      </c>
      <c r="N372">
        <v>50</v>
      </c>
      <c r="O372">
        <v>13864</v>
      </c>
      <c r="P372">
        <v>13863</v>
      </c>
      <c r="Q372">
        <v>9376</v>
      </c>
      <c r="R372">
        <v>4487</v>
      </c>
      <c r="S372">
        <v>0</v>
      </c>
      <c r="T372">
        <v>0</v>
      </c>
      <c r="U372">
        <v>3.9</v>
      </c>
    </row>
    <row r="373" spans="1:21" x14ac:dyDescent="0.35">
      <c r="A373" t="s">
        <v>534</v>
      </c>
      <c r="B373" t="s">
        <v>38</v>
      </c>
      <c r="C373" s="32">
        <v>45234</v>
      </c>
      <c r="D373" t="s">
        <v>122</v>
      </c>
      <c r="E373" t="s">
        <v>50</v>
      </c>
      <c r="F373" t="s">
        <v>94</v>
      </c>
      <c r="G373" t="s">
        <v>53</v>
      </c>
      <c r="H373" t="s">
        <v>66</v>
      </c>
      <c r="I373" t="s">
        <v>67</v>
      </c>
      <c r="J373" t="s">
        <v>99</v>
      </c>
      <c r="K373">
        <v>7</v>
      </c>
      <c r="L373">
        <v>3891</v>
      </c>
      <c r="M373">
        <v>27237</v>
      </c>
      <c r="N373">
        <v>30</v>
      </c>
      <c r="O373">
        <v>8171</v>
      </c>
      <c r="P373">
        <v>19066</v>
      </c>
      <c r="Q373">
        <v>12518</v>
      </c>
      <c r="R373">
        <v>6548</v>
      </c>
      <c r="S373">
        <v>1</v>
      </c>
      <c r="T373">
        <v>2724</v>
      </c>
      <c r="U373">
        <v>4</v>
      </c>
    </row>
    <row r="374" spans="1:21" x14ac:dyDescent="0.35">
      <c r="A374" t="s">
        <v>549</v>
      </c>
      <c r="B374" t="s">
        <v>38</v>
      </c>
      <c r="C374" s="32">
        <v>45246</v>
      </c>
      <c r="D374" t="s">
        <v>113</v>
      </c>
      <c r="E374" t="s">
        <v>54</v>
      </c>
      <c r="F374" t="s">
        <v>98</v>
      </c>
      <c r="G374" t="s">
        <v>53</v>
      </c>
      <c r="H374" t="s">
        <v>66</v>
      </c>
      <c r="I374" t="s">
        <v>67</v>
      </c>
      <c r="J374" t="s">
        <v>103</v>
      </c>
      <c r="K374">
        <v>7</v>
      </c>
      <c r="L374">
        <v>1832</v>
      </c>
      <c r="M374">
        <v>12824</v>
      </c>
      <c r="N374">
        <v>20</v>
      </c>
      <c r="O374">
        <v>2565</v>
      </c>
      <c r="P374">
        <v>10259</v>
      </c>
      <c r="Q374">
        <v>6038</v>
      </c>
      <c r="R374">
        <v>4221</v>
      </c>
      <c r="S374">
        <v>0</v>
      </c>
      <c r="T374">
        <v>0</v>
      </c>
      <c r="U374">
        <v>3.6</v>
      </c>
    </row>
    <row r="375" spans="1:21" x14ac:dyDescent="0.35">
      <c r="A375" t="s">
        <v>551</v>
      </c>
      <c r="B375" t="s">
        <v>38</v>
      </c>
      <c r="C375" s="32">
        <v>45248</v>
      </c>
      <c r="D375" t="s">
        <v>122</v>
      </c>
      <c r="E375" t="s">
        <v>59</v>
      </c>
      <c r="F375" t="s">
        <v>124</v>
      </c>
      <c r="G375" t="s">
        <v>55</v>
      </c>
      <c r="H375" t="s">
        <v>66</v>
      </c>
      <c r="I375" t="s">
        <v>67</v>
      </c>
      <c r="J375" t="s">
        <v>95</v>
      </c>
      <c r="K375">
        <v>8</v>
      </c>
      <c r="L375">
        <v>4338</v>
      </c>
      <c r="M375">
        <v>34704</v>
      </c>
      <c r="N375">
        <v>10</v>
      </c>
      <c r="O375">
        <v>3470</v>
      </c>
      <c r="P375">
        <v>31234</v>
      </c>
      <c r="Q375">
        <v>16926</v>
      </c>
      <c r="R375">
        <v>14308</v>
      </c>
      <c r="S375">
        <v>1</v>
      </c>
      <c r="T375">
        <v>3904</v>
      </c>
      <c r="U375">
        <v>4.4000000000000004</v>
      </c>
    </row>
    <row r="376" spans="1:21" x14ac:dyDescent="0.35">
      <c r="A376" t="s">
        <v>554</v>
      </c>
      <c r="B376" t="s">
        <v>38</v>
      </c>
      <c r="C376" s="32">
        <v>45251</v>
      </c>
      <c r="D376" t="s">
        <v>101</v>
      </c>
      <c r="E376" t="s">
        <v>56</v>
      </c>
      <c r="F376" t="s">
        <v>98</v>
      </c>
      <c r="G376" t="s">
        <v>55</v>
      </c>
      <c r="H376" t="s">
        <v>64</v>
      </c>
      <c r="I376" t="s">
        <v>67</v>
      </c>
      <c r="J376" t="s">
        <v>95</v>
      </c>
      <c r="K376">
        <v>1</v>
      </c>
      <c r="L376">
        <v>1824</v>
      </c>
      <c r="M376">
        <v>1824</v>
      </c>
      <c r="N376">
        <v>0</v>
      </c>
      <c r="O376">
        <v>0</v>
      </c>
      <c r="P376">
        <v>1824</v>
      </c>
      <c r="Q376">
        <v>955</v>
      </c>
      <c r="R376">
        <v>869</v>
      </c>
      <c r="S376">
        <v>1</v>
      </c>
      <c r="T376">
        <v>1824</v>
      </c>
      <c r="U376">
        <v>3.6</v>
      </c>
    </row>
    <row r="377" spans="1:21" x14ac:dyDescent="0.35">
      <c r="A377" t="s">
        <v>560</v>
      </c>
      <c r="B377" t="s">
        <v>38</v>
      </c>
      <c r="C377" s="32">
        <v>45254</v>
      </c>
      <c r="D377" t="s">
        <v>113</v>
      </c>
      <c r="E377" t="s">
        <v>48</v>
      </c>
      <c r="F377" t="s">
        <v>102</v>
      </c>
      <c r="G377" t="s">
        <v>57</v>
      </c>
      <c r="H377" t="s">
        <v>64</v>
      </c>
      <c r="I377" t="s">
        <v>67</v>
      </c>
      <c r="J377" t="s">
        <v>95</v>
      </c>
      <c r="K377">
        <v>5</v>
      </c>
      <c r="L377">
        <v>670</v>
      </c>
      <c r="M377">
        <v>3350</v>
      </c>
      <c r="N377">
        <v>15</v>
      </c>
      <c r="O377">
        <v>502</v>
      </c>
      <c r="P377">
        <v>2848</v>
      </c>
      <c r="Q377">
        <v>1975</v>
      </c>
      <c r="R377">
        <v>873</v>
      </c>
      <c r="S377">
        <v>0</v>
      </c>
      <c r="T377">
        <v>0</v>
      </c>
      <c r="U377">
        <v>3.8</v>
      </c>
    </row>
    <row r="378" spans="1:21" x14ac:dyDescent="0.35">
      <c r="A378" t="s">
        <v>563</v>
      </c>
      <c r="B378" t="s">
        <v>38</v>
      </c>
      <c r="C378" s="32">
        <v>45258</v>
      </c>
      <c r="D378" t="s">
        <v>97</v>
      </c>
      <c r="E378" t="s">
        <v>52</v>
      </c>
      <c r="F378" t="s">
        <v>134</v>
      </c>
      <c r="G378" t="s">
        <v>49</v>
      </c>
      <c r="H378" t="s">
        <v>64</v>
      </c>
      <c r="I378" t="s">
        <v>67</v>
      </c>
      <c r="J378" t="s">
        <v>103</v>
      </c>
      <c r="K378">
        <v>13</v>
      </c>
      <c r="L378">
        <v>4731</v>
      </c>
      <c r="M378">
        <v>61503</v>
      </c>
      <c r="N378">
        <v>20</v>
      </c>
      <c r="O378">
        <v>12301</v>
      </c>
      <c r="P378">
        <v>49202</v>
      </c>
      <c r="Q378">
        <v>27354</v>
      </c>
      <c r="R378">
        <v>21848</v>
      </c>
      <c r="S378">
        <v>3</v>
      </c>
      <c r="T378">
        <v>11354</v>
      </c>
      <c r="U378">
        <v>4.5999999999999996</v>
      </c>
    </row>
    <row r="379" spans="1:21" x14ac:dyDescent="0.35">
      <c r="A379" t="s">
        <v>564</v>
      </c>
      <c r="B379" t="s">
        <v>38</v>
      </c>
      <c r="C379" s="32">
        <v>45259</v>
      </c>
      <c r="D379" t="s">
        <v>120</v>
      </c>
      <c r="E379" t="s">
        <v>54</v>
      </c>
      <c r="F379" t="s">
        <v>111</v>
      </c>
      <c r="G379" t="s">
        <v>51</v>
      </c>
      <c r="H379" t="s">
        <v>64</v>
      </c>
      <c r="I379" t="s">
        <v>67</v>
      </c>
      <c r="J379" t="s">
        <v>99</v>
      </c>
      <c r="K379">
        <v>12</v>
      </c>
      <c r="L379">
        <v>4205</v>
      </c>
      <c r="M379">
        <v>50460</v>
      </c>
      <c r="N379">
        <v>40</v>
      </c>
      <c r="O379">
        <v>20184</v>
      </c>
      <c r="P379">
        <v>30276</v>
      </c>
      <c r="Q379">
        <v>17020</v>
      </c>
      <c r="R379">
        <v>13256</v>
      </c>
      <c r="S379">
        <v>0</v>
      </c>
      <c r="T379">
        <v>0</v>
      </c>
      <c r="U379">
        <v>4.8</v>
      </c>
    </row>
    <row r="380" spans="1:21" x14ac:dyDescent="0.35">
      <c r="A380" t="s">
        <v>576</v>
      </c>
      <c r="B380" t="s">
        <v>39</v>
      </c>
      <c r="C380" s="32">
        <v>45265</v>
      </c>
      <c r="D380" t="s">
        <v>120</v>
      </c>
      <c r="E380" t="s">
        <v>48</v>
      </c>
      <c r="F380" t="s">
        <v>106</v>
      </c>
      <c r="G380" t="s">
        <v>55</v>
      </c>
      <c r="H380" t="s">
        <v>68</v>
      </c>
      <c r="I380" t="s">
        <v>67</v>
      </c>
      <c r="J380" t="s">
        <v>95</v>
      </c>
      <c r="K380">
        <v>9</v>
      </c>
      <c r="L380">
        <v>4757</v>
      </c>
      <c r="M380">
        <v>42813</v>
      </c>
      <c r="N380">
        <v>10</v>
      </c>
      <c r="O380">
        <v>4281</v>
      </c>
      <c r="P380">
        <v>38532</v>
      </c>
      <c r="Q380">
        <v>23370</v>
      </c>
      <c r="R380">
        <v>15162</v>
      </c>
      <c r="S380">
        <v>1</v>
      </c>
      <c r="T380">
        <v>4281</v>
      </c>
      <c r="U380">
        <v>3.9</v>
      </c>
    </row>
    <row r="381" spans="1:21" x14ac:dyDescent="0.35">
      <c r="A381" t="s">
        <v>577</v>
      </c>
      <c r="B381" t="s">
        <v>39</v>
      </c>
      <c r="C381" s="32">
        <v>45265</v>
      </c>
      <c r="D381" t="s">
        <v>93</v>
      </c>
      <c r="E381" t="s">
        <v>54</v>
      </c>
      <c r="F381" t="s">
        <v>124</v>
      </c>
      <c r="G381" t="s">
        <v>57</v>
      </c>
      <c r="H381" t="s">
        <v>66</v>
      </c>
      <c r="I381" t="s">
        <v>67</v>
      </c>
      <c r="J381" t="s">
        <v>95</v>
      </c>
      <c r="K381">
        <v>13</v>
      </c>
      <c r="L381">
        <v>3625</v>
      </c>
      <c r="M381">
        <v>47125</v>
      </c>
      <c r="N381">
        <v>50</v>
      </c>
      <c r="O381">
        <v>23562</v>
      </c>
      <c r="P381">
        <v>23563</v>
      </c>
      <c r="Q381">
        <v>11899</v>
      </c>
      <c r="R381">
        <v>11664</v>
      </c>
      <c r="S381">
        <v>1</v>
      </c>
      <c r="T381">
        <v>1812</v>
      </c>
      <c r="U381">
        <v>3.8</v>
      </c>
    </row>
    <row r="382" spans="1:21" x14ac:dyDescent="0.35">
      <c r="A382" t="s">
        <v>579</v>
      </c>
      <c r="B382" t="s">
        <v>39</v>
      </c>
      <c r="C382" s="32">
        <v>45265</v>
      </c>
      <c r="D382" t="s">
        <v>115</v>
      </c>
      <c r="E382" t="s">
        <v>50</v>
      </c>
      <c r="F382" t="s">
        <v>111</v>
      </c>
      <c r="G382" t="s">
        <v>51</v>
      </c>
      <c r="H382" t="s">
        <v>66</v>
      </c>
      <c r="I382" t="s">
        <v>67</v>
      </c>
      <c r="J382" t="s">
        <v>95</v>
      </c>
      <c r="K382">
        <v>11</v>
      </c>
      <c r="L382">
        <v>1542</v>
      </c>
      <c r="M382">
        <v>16962</v>
      </c>
      <c r="N382">
        <v>5</v>
      </c>
      <c r="O382">
        <v>848</v>
      </c>
      <c r="P382">
        <v>16114</v>
      </c>
      <c r="Q382">
        <v>7463</v>
      </c>
      <c r="R382">
        <v>8651</v>
      </c>
      <c r="S382">
        <v>1</v>
      </c>
      <c r="T382">
        <v>1465</v>
      </c>
      <c r="U382">
        <v>3.5</v>
      </c>
    </row>
    <row r="383" spans="1:21" x14ac:dyDescent="0.35">
      <c r="A383" t="s">
        <v>584</v>
      </c>
      <c r="B383" t="s">
        <v>39</v>
      </c>
      <c r="C383" s="32">
        <v>45269</v>
      </c>
      <c r="D383" t="s">
        <v>115</v>
      </c>
      <c r="E383" t="s">
        <v>59</v>
      </c>
      <c r="F383" t="s">
        <v>111</v>
      </c>
      <c r="G383" t="s">
        <v>51</v>
      </c>
      <c r="H383" t="s">
        <v>68</v>
      </c>
      <c r="I383" t="s">
        <v>67</v>
      </c>
      <c r="J383" t="s">
        <v>95</v>
      </c>
      <c r="K383">
        <v>1</v>
      </c>
      <c r="L383">
        <v>1525</v>
      </c>
      <c r="M383">
        <v>1525</v>
      </c>
      <c r="N383">
        <v>15</v>
      </c>
      <c r="O383">
        <v>229</v>
      </c>
      <c r="P383">
        <v>1296</v>
      </c>
      <c r="Q383">
        <v>728</v>
      </c>
      <c r="R383">
        <v>568</v>
      </c>
      <c r="S383">
        <v>1</v>
      </c>
      <c r="T383">
        <v>1296</v>
      </c>
      <c r="U383">
        <v>4.9000000000000004</v>
      </c>
    </row>
    <row r="384" spans="1:21" x14ac:dyDescent="0.35">
      <c r="A384" t="s">
        <v>585</v>
      </c>
      <c r="B384" t="s">
        <v>39</v>
      </c>
      <c r="C384" s="32">
        <v>45270</v>
      </c>
      <c r="D384" t="s">
        <v>97</v>
      </c>
      <c r="E384" t="s">
        <v>48</v>
      </c>
      <c r="F384" t="s">
        <v>106</v>
      </c>
      <c r="G384" t="s">
        <v>55</v>
      </c>
      <c r="H384" t="s">
        <v>64</v>
      </c>
      <c r="I384" t="s">
        <v>67</v>
      </c>
      <c r="J384" t="s">
        <v>99</v>
      </c>
      <c r="K384">
        <v>15</v>
      </c>
      <c r="L384">
        <v>371</v>
      </c>
      <c r="M384">
        <v>5565</v>
      </c>
      <c r="N384">
        <v>15</v>
      </c>
      <c r="O384">
        <v>835</v>
      </c>
      <c r="P384">
        <v>4730</v>
      </c>
      <c r="Q384">
        <v>3266</v>
      </c>
      <c r="R384">
        <v>1464</v>
      </c>
      <c r="S384">
        <v>0</v>
      </c>
      <c r="T384">
        <v>0</v>
      </c>
      <c r="U384">
        <v>4.4000000000000004</v>
      </c>
    </row>
    <row r="385" spans="1:21" x14ac:dyDescent="0.35">
      <c r="A385" t="s">
        <v>587</v>
      </c>
      <c r="B385" t="s">
        <v>39</v>
      </c>
      <c r="C385" s="32">
        <v>45273</v>
      </c>
      <c r="D385" t="s">
        <v>122</v>
      </c>
      <c r="E385" t="s">
        <v>56</v>
      </c>
      <c r="F385" t="s">
        <v>111</v>
      </c>
      <c r="G385" t="s">
        <v>57</v>
      </c>
      <c r="H385" t="s">
        <v>66</v>
      </c>
      <c r="I385" t="s">
        <v>67</v>
      </c>
      <c r="J385" t="s">
        <v>99</v>
      </c>
      <c r="K385">
        <v>9</v>
      </c>
      <c r="L385">
        <v>4218</v>
      </c>
      <c r="M385">
        <v>37962</v>
      </c>
      <c r="N385">
        <v>20</v>
      </c>
      <c r="O385">
        <v>7592</v>
      </c>
      <c r="P385">
        <v>30370</v>
      </c>
      <c r="Q385">
        <v>15845</v>
      </c>
      <c r="R385">
        <v>14525</v>
      </c>
      <c r="S385">
        <v>1</v>
      </c>
      <c r="T385">
        <v>3374</v>
      </c>
      <c r="U385">
        <v>4.5</v>
      </c>
    </row>
    <row r="386" spans="1:21" x14ac:dyDescent="0.35">
      <c r="A386" t="s">
        <v>593</v>
      </c>
      <c r="B386" t="s">
        <v>39</v>
      </c>
      <c r="C386" s="32">
        <v>45277</v>
      </c>
      <c r="D386" t="s">
        <v>105</v>
      </c>
      <c r="E386" t="s">
        <v>50</v>
      </c>
      <c r="F386" t="s">
        <v>111</v>
      </c>
      <c r="G386" t="s">
        <v>51</v>
      </c>
      <c r="H386" t="s">
        <v>68</v>
      </c>
      <c r="I386" t="s">
        <v>67</v>
      </c>
      <c r="J386" t="s">
        <v>99</v>
      </c>
      <c r="K386">
        <v>8</v>
      </c>
      <c r="L386">
        <v>985</v>
      </c>
      <c r="M386">
        <v>7880</v>
      </c>
      <c r="N386">
        <v>10</v>
      </c>
      <c r="O386">
        <v>788</v>
      </c>
      <c r="P386">
        <v>7092</v>
      </c>
      <c r="Q386">
        <v>3962</v>
      </c>
      <c r="R386">
        <v>3130</v>
      </c>
      <c r="S386">
        <v>1</v>
      </c>
      <c r="T386">
        <v>886</v>
      </c>
      <c r="U386">
        <v>3.2</v>
      </c>
    </row>
    <row r="387" spans="1:21" x14ac:dyDescent="0.35">
      <c r="A387" t="s">
        <v>598</v>
      </c>
      <c r="B387" t="s">
        <v>39</v>
      </c>
      <c r="C387" s="32">
        <v>45280</v>
      </c>
      <c r="D387" t="s">
        <v>122</v>
      </c>
      <c r="E387" t="s">
        <v>52</v>
      </c>
      <c r="F387" t="s">
        <v>108</v>
      </c>
      <c r="G387" t="s">
        <v>55</v>
      </c>
      <c r="H387" t="s">
        <v>66</v>
      </c>
      <c r="I387" t="s">
        <v>67</v>
      </c>
      <c r="J387" t="s">
        <v>99</v>
      </c>
      <c r="K387">
        <v>15</v>
      </c>
      <c r="L387">
        <v>2732</v>
      </c>
      <c r="M387">
        <v>40980</v>
      </c>
      <c r="N387">
        <v>5</v>
      </c>
      <c r="O387">
        <v>2049</v>
      </c>
      <c r="P387">
        <v>38931</v>
      </c>
      <c r="Q387">
        <v>19932</v>
      </c>
      <c r="R387">
        <v>18999</v>
      </c>
      <c r="S387">
        <v>0</v>
      </c>
      <c r="T387">
        <v>0</v>
      </c>
      <c r="U387">
        <v>3.3</v>
      </c>
    </row>
    <row r="388" spans="1:21" x14ac:dyDescent="0.35">
      <c r="A388" t="s">
        <v>603</v>
      </c>
      <c r="B388" t="s">
        <v>39</v>
      </c>
      <c r="C388" s="32">
        <v>45282</v>
      </c>
      <c r="D388" t="s">
        <v>113</v>
      </c>
      <c r="E388" t="s">
        <v>48</v>
      </c>
      <c r="F388" t="s">
        <v>111</v>
      </c>
      <c r="G388" t="s">
        <v>57</v>
      </c>
      <c r="H388" t="s">
        <v>66</v>
      </c>
      <c r="I388" t="s">
        <v>67</v>
      </c>
      <c r="J388" t="s">
        <v>99</v>
      </c>
      <c r="K388">
        <v>7</v>
      </c>
      <c r="L388">
        <v>1092</v>
      </c>
      <c r="M388">
        <v>7644</v>
      </c>
      <c r="N388">
        <v>25</v>
      </c>
      <c r="O388">
        <v>1911</v>
      </c>
      <c r="P388">
        <v>5733</v>
      </c>
      <c r="Q388">
        <v>2933</v>
      </c>
      <c r="R388">
        <v>2800</v>
      </c>
      <c r="S388">
        <v>0</v>
      </c>
      <c r="T388">
        <v>0</v>
      </c>
      <c r="U388">
        <v>4.3</v>
      </c>
    </row>
    <row r="389" spans="1:21" x14ac:dyDescent="0.35">
      <c r="A389" t="s">
        <v>607</v>
      </c>
      <c r="B389" t="s">
        <v>39</v>
      </c>
      <c r="C389" s="32">
        <v>45283</v>
      </c>
      <c r="D389" t="s">
        <v>131</v>
      </c>
      <c r="E389" t="s">
        <v>48</v>
      </c>
      <c r="F389" t="s">
        <v>102</v>
      </c>
      <c r="G389" t="s">
        <v>53</v>
      </c>
      <c r="H389" t="s">
        <v>66</v>
      </c>
      <c r="I389" t="s">
        <v>67</v>
      </c>
      <c r="J389" t="s">
        <v>99</v>
      </c>
      <c r="K389">
        <v>4</v>
      </c>
      <c r="L389">
        <v>750</v>
      </c>
      <c r="M389">
        <v>3000</v>
      </c>
      <c r="N389">
        <v>30</v>
      </c>
      <c r="O389">
        <v>900</v>
      </c>
      <c r="P389">
        <v>2100</v>
      </c>
      <c r="Q389">
        <v>1245</v>
      </c>
      <c r="R389">
        <v>855</v>
      </c>
      <c r="S389">
        <v>1</v>
      </c>
      <c r="T389">
        <v>525</v>
      </c>
      <c r="U389">
        <v>2.9</v>
      </c>
    </row>
    <row r="390" spans="1:21" x14ac:dyDescent="0.35">
      <c r="A390" t="s">
        <v>608</v>
      </c>
      <c r="B390" t="s">
        <v>39</v>
      </c>
      <c r="C390" s="32">
        <v>45283</v>
      </c>
      <c r="D390" t="s">
        <v>105</v>
      </c>
      <c r="E390" t="s">
        <v>56</v>
      </c>
      <c r="F390" t="s">
        <v>98</v>
      </c>
      <c r="G390" t="s">
        <v>51</v>
      </c>
      <c r="H390" t="s">
        <v>64</v>
      </c>
      <c r="I390" t="s">
        <v>67</v>
      </c>
      <c r="J390" t="s">
        <v>103</v>
      </c>
      <c r="K390">
        <v>8</v>
      </c>
      <c r="L390">
        <v>3937</v>
      </c>
      <c r="M390">
        <v>31496</v>
      </c>
      <c r="N390">
        <v>25</v>
      </c>
      <c r="O390">
        <v>7874</v>
      </c>
      <c r="P390">
        <v>23622</v>
      </c>
      <c r="Q390">
        <v>12221</v>
      </c>
      <c r="R390">
        <v>11401</v>
      </c>
      <c r="S390">
        <v>1</v>
      </c>
      <c r="T390">
        <v>2953</v>
      </c>
      <c r="U390">
        <v>4</v>
      </c>
    </row>
    <row r="391" spans="1:21" x14ac:dyDescent="0.35">
      <c r="A391" t="s">
        <v>610</v>
      </c>
      <c r="B391" t="s">
        <v>39</v>
      </c>
      <c r="C391" s="32">
        <v>45287</v>
      </c>
      <c r="D391" t="s">
        <v>122</v>
      </c>
      <c r="E391" t="s">
        <v>58</v>
      </c>
      <c r="F391" t="s">
        <v>108</v>
      </c>
      <c r="G391" t="s">
        <v>49</v>
      </c>
      <c r="H391" t="s">
        <v>66</v>
      </c>
      <c r="I391" t="s">
        <v>67</v>
      </c>
      <c r="J391" t="s">
        <v>99</v>
      </c>
      <c r="K391">
        <v>10</v>
      </c>
      <c r="L391">
        <v>1337</v>
      </c>
      <c r="M391">
        <v>13370</v>
      </c>
      <c r="N391">
        <v>10</v>
      </c>
      <c r="O391">
        <v>1337</v>
      </c>
      <c r="P391">
        <v>12033</v>
      </c>
      <c r="Q391">
        <v>6853</v>
      </c>
      <c r="R391">
        <v>5180</v>
      </c>
      <c r="S391">
        <v>1</v>
      </c>
      <c r="T391">
        <v>1203</v>
      </c>
      <c r="U391">
        <v>4.4000000000000004</v>
      </c>
    </row>
    <row r="392" spans="1:21" x14ac:dyDescent="0.35">
      <c r="A392" t="s">
        <v>612</v>
      </c>
      <c r="B392" t="s">
        <v>39</v>
      </c>
      <c r="C392" s="32">
        <v>45288</v>
      </c>
      <c r="D392" t="s">
        <v>93</v>
      </c>
      <c r="E392" t="s">
        <v>54</v>
      </c>
      <c r="F392" t="s">
        <v>116</v>
      </c>
      <c r="G392" t="s">
        <v>57</v>
      </c>
      <c r="H392" t="s">
        <v>68</v>
      </c>
      <c r="I392" t="s">
        <v>67</v>
      </c>
      <c r="J392" t="s">
        <v>103</v>
      </c>
      <c r="K392">
        <v>10</v>
      </c>
      <c r="L392">
        <v>4976</v>
      </c>
      <c r="M392">
        <v>49760</v>
      </c>
      <c r="N392">
        <v>25</v>
      </c>
      <c r="O392">
        <v>12440</v>
      </c>
      <c r="P392">
        <v>37320</v>
      </c>
      <c r="Q392">
        <v>25444</v>
      </c>
      <c r="R392">
        <v>11876</v>
      </c>
      <c r="S392">
        <v>2</v>
      </c>
      <c r="T392">
        <v>7464</v>
      </c>
      <c r="U392">
        <v>3.9</v>
      </c>
    </row>
    <row r="393" spans="1:21" x14ac:dyDescent="0.35">
      <c r="A393" t="s">
        <v>614</v>
      </c>
      <c r="B393" t="s">
        <v>39</v>
      </c>
      <c r="C393" s="32">
        <v>45291</v>
      </c>
      <c r="D393" t="s">
        <v>97</v>
      </c>
      <c r="E393" t="s">
        <v>52</v>
      </c>
      <c r="F393" t="s">
        <v>124</v>
      </c>
      <c r="G393" t="s">
        <v>49</v>
      </c>
      <c r="H393" t="s">
        <v>68</v>
      </c>
      <c r="I393" t="s">
        <v>67</v>
      </c>
      <c r="J393" t="s">
        <v>103</v>
      </c>
      <c r="K393">
        <v>11</v>
      </c>
      <c r="L393">
        <v>4563</v>
      </c>
      <c r="M393">
        <v>50193</v>
      </c>
      <c r="N393">
        <v>10</v>
      </c>
      <c r="O393">
        <v>5019</v>
      </c>
      <c r="P393">
        <v>45174</v>
      </c>
      <c r="Q393">
        <v>28441</v>
      </c>
      <c r="R393">
        <v>16733</v>
      </c>
      <c r="S393">
        <v>0</v>
      </c>
      <c r="T393">
        <v>0</v>
      </c>
      <c r="U393">
        <v>2.7</v>
      </c>
    </row>
    <row r="394" spans="1:21" x14ac:dyDescent="0.35">
      <c r="A394" t="s">
        <v>96</v>
      </c>
      <c r="B394" t="s">
        <v>28</v>
      </c>
      <c r="C394" s="32">
        <v>44928</v>
      </c>
      <c r="D394" t="s">
        <v>97</v>
      </c>
      <c r="E394" t="s">
        <v>50</v>
      </c>
      <c r="F394" t="s">
        <v>98</v>
      </c>
      <c r="G394" t="s">
        <v>53</v>
      </c>
      <c r="H394" t="s">
        <v>66</v>
      </c>
      <c r="I394" t="s">
        <v>71</v>
      </c>
      <c r="J394" t="s">
        <v>99</v>
      </c>
      <c r="K394">
        <v>4</v>
      </c>
      <c r="L394">
        <v>755</v>
      </c>
      <c r="M394">
        <v>3020</v>
      </c>
      <c r="N394">
        <v>15</v>
      </c>
      <c r="O394">
        <v>453</v>
      </c>
      <c r="P394">
        <v>2567</v>
      </c>
      <c r="Q394">
        <v>1265</v>
      </c>
      <c r="R394">
        <v>1302</v>
      </c>
      <c r="S394">
        <v>1</v>
      </c>
      <c r="T394">
        <v>642</v>
      </c>
      <c r="U394">
        <v>4.9000000000000004</v>
      </c>
    </row>
    <row r="395" spans="1:21" x14ac:dyDescent="0.35">
      <c r="A395" t="s">
        <v>109</v>
      </c>
      <c r="B395" t="s">
        <v>28</v>
      </c>
      <c r="C395" s="32">
        <v>44934</v>
      </c>
      <c r="D395" t="s">
        <v>101</v>
      </c>
      <c r="E395" t="s">
        <v>56</v>
      </c>
      <c r="F395" t="s">
        <v>98</v>
      </c>
      <c r="G395" t="s">
        <v>57</v>
      </c>
      <c r="H395" t="s">
        <v>64</v>
      </c>
      <c r="I395" t="s">
        <v>71</v>
      </c>
      <c r="J395" t="s">
        <v>103</v>
      </c>
      <c r="K395">
        <v>3</v>
      </c>
      <c r="L395">
        <v>3397</v>
      </c>
      <c r="M395">
        <v>10191</v>
      </c>
      <c r="N395">
        <v>25</v>
      </c>
      <c r="O395">
        <v>2548</v>
      </c>
      <c r="P395">
        <v>7643</v>
      </c>
      <c r="Q395">
        <v>4983</v>
      </c>
      <c r="R395">
        <v>2660</v>
      </c>
      <c r="S395">
        <v>1</v>
      </c>
      <c r="T395">
        <v>2548</v>
      </c>
      <c r="U395">
        <v>4.5</v>
      </c>
    </row>
    <row r="396" spans="1:21" x14ac:dyDescent="0.35">
      <c r="A396" t="s">
        <v>114</v>
      </c>
      <c r="B396" t="s">
        <v>28</v>
      </c>
      <c r="C396" s="32">
        <v>44938</v>
      </c>
      <c r="D396" t="s">
        <v>115</v>
      </c>
      <c r="E396" t="s">
        <v>58</v>
      </c>
      <c r="F396" t="s">
        <v>116</v>
      </c>
      <c r="G396" t="s">
        <v>53</v>
      </c>
      <c r="H396" t="s">
        <v>64</v>
      </c>
      <c r="I396" t="s">
        <v>71</v>
      </c>
      <c r="J396" t="s">
        <v>103</v>
      </c>
      <c r="K396">
        <v>13</v>
      </c>
      <c r="L396">
        <v>3799</v>
      </c>
      <c r="M396">
        <v>49387</v>
      </c>
      <c r="N396">
        <v>0</v>
      </c>
      <c r="O396">
        <v>0</v>
      </c>
      <c r="P396">
        <v>49387</v>
      </c>
      <c r="Q396">
        <v>33467</v>
      </c>
      <c r="R396">
        <v>15920</v>
      </c>
      <c r="S396">
        <v>3</v>
      </c>
      <c r="T396">
        <v>11397</v>
      </c>
      <c r="U396">
        <v>4.5999999999999996</v>
      </c>
    </row>
    <row r="397" spans="1:21" x14ac:dyDescent="0.35">
      <c r="A397" t="s">
        <v>123</v>
      </c>
      <c r="B397" t="s">
        <v>28</v>
      </c>
      <c r="C397" s="32">
        <v>44940</v>
      </c>
      <c r="D397" t="s">
        <v>115</v>
      </c>
      <c r="E397" t="s">
        <v>54</v>
      </c>
      <c r="F397" t="s">
        <v>124</v>
      </c>
      <c r="G397" t="s">
        <v>49</v>
      </c>
      <c r="H397" t="s">
        <v>64</v>
      </c>
      <c r="I397" t="s">
        <v>71</v>
      </c>
      <c r="J397" t="s">
        <v>95</v>
      </c>
      <c r="K397">
        <v>14</v>
      </c>
      <c r="L397">
        <v>3983</v>
      </c>
      <c r="M397">
        <v>55762</v>
      </c>
      <c r="N397">
        <v>20</v>
      </c>
      <c r="O397">
        <v>11152</v>
      </c>
      <c r="P397">
        <v>44610</v>
      </c>
      <c r="Q397">
        <v>21553</v>
      </c>
      <c r="R397">
        <v>23057</v>
      </c>
      <c r="S397">
        <v>2</v>
      </c>
      <c r="T397">
        <v>6373</v>
      </c>
      <c r="U397">
        <v>3.2</v>
      </c>
    </row>
    <row r="398" spans="1:21" x14ac:dyDescent="0.35">
      <c r="A398" t="s">
        <v>130</v>
      </c>
      <c r="B398" t="s">
        <v>28</v>
      </c>
      <c r="C398" s="32">
        <v>44945</v>
      </c>
      <c r="D398" t="s">
        <v>131</v>
      </c>
      <c r="E398" t="s">
        <v>48</v>
      </c>
      <c r="F398" t="s">
        <v>102</v>
      </c>
      <c r="G398" t="s">
        <v>49</v>
      </c>
      <c r="H398" t="s">
        <v>64</v>
      </c>
      <c r="I398" t="s">
        <v>71</v>
      </c>
      <c r="J398" t="s">
        <v>103</v>
      </c>
      <c r="K398">
        <v>11</v>
      </c>
      <c r="L398">
        <v>1731</v>
      </c>
      <c r="M398">
        <v>19041</v>
      </c>
      <c r="N398">
        <v>50</v>
      </c>
      <c r="O398">
        <v>9520</v>
      </c>
      <c r="P398">
        <v>9521</v>
      </c>
      <c r="Q398">
        <v>5623</v>
      </c>
      <c r="R398">
        <v>3898</v>
      </c>
      <c r="S398">
        <v>2</v>
      </c>
      <c r="T398">
        <v>1731</v>
      </c>
      <c r="U398">
        <v>4.2</v>
      </c>
    </row>
    <row r="399" spans="1:21" x14ac:dyDescent="0.35">
      <c r="A399" t="s">
        <v>135</v>
      </c>
      <c r="B399" t="s">
        <v>28</v>
      </c>
      <c r="C399" s="32">
        <v>44946</v>
      </c>
      <c r="D399" t="s">
        <v>93</v>
      </c>
      <c r="E399" t="s">
        <v>58</v>
      </c>
      <c r="F399" t="s">
        <v>106</v>
      </c>
      <c r="G399" t="s">
        <v>49</v>
      </c>
      <c r="H399" t="s">
        <v>68</v>
      </c>
      <c r="I399" t="s">
        <v>71</v>
      </c>
      <c r="J399" t="s">
        <v>95</v>
      </c>
      <c r="K399">
        <v>13</v>
      </c>
      <c r="L399">
        <v>2568</v>
      </c>
      <c r="M399">
        <v>33384</v>
      </c>
      <c r="N399">
        <v>50</v>
      </c>
      <c r="O399">
        <v>16692</v>
      </c>
      <c r="P399">
        <v>16692</v>
      </c>
      <c r="Q399">
        <v>8154</v>
      </c>
      <c r="R399">
        <v>8538</v>
      </c>
      <c r="S399">
        <v>2</v>
      </c>
      <c r="T399">
        <v>2568</v>
      </c>
      <c r="U399">
        <v>4.8</v>
      </c>
    </row>
    <row r="400" spans="1:21" x14ac:dyDescent="0.35">
      <c r="A400" t="s">
        <v>137</v>
      </c>
      <c r="B400" t="s">
        <v>28</v>
      </c>
      <c r="C400" s="32">
        <v>44950</v>
      </c>
      <c r="D400" t="s">
        <v>113</v>
      </c>
      <c r="E400" t="s">
        <v>59</v>
      </c>
      <c r="F400" t="s">
        <v>94</v>
      </c>
      <c r="G400" t="s">
        <v>49</v>
      </c>
      <c r="H400" t="s">
        <v>66</v>
      </c>
      <c r="I400" t="s">
        <v>71</v>
      </c>
      <c r="J400" t="s">
        <v>103</v>
      </c>
      <c r="K400">
        <v>14</v>
      </c>
      <c r="L400">
        <v>1584</v>
      </c>
      <c r="M400">
        <v>22176</v>
      </c>
      <c r="N400">
        <v>20</v>
      </c>
      <c r="O400">
        <v>4435</v>
      </c>
      <c r="P400">
        <v>17741</v>
      </c>
      <c r="Q400">
        <v>10550</v>
      </c>
      <c r="R400">
        <v>7191</v>
      </c>
      <c r="S400">
        <v>1</v>
      </c>
      <c r="T400">
        <v>1267</v>
      </c>
      <c r="U400">
        <v>3.4</v>
      </c>
    </row>
    <row r="401" spans="1:21" x14ac:dyDescent="0.35">
      <c r="A401" t="s">
        <v>143</v>
      </c>
      <c r="B401" t="s">
        <v>28</v>
      </c>
      <c r="C401" s="32">
        <v>44956</v>
      </c>
      <c r="D401" t="s">
        <v>101</v>
      </c>
      <c r="E401" t="s">
        <v>58</v>
      </c>
      <c r="F401" t="s">
        <v>124</v>
      </c>
      <c r="G401" t="s">
        <v>57</v>
      </c>
      <c r="H401" t="s">
        <v>68</v>
      </c>
      <c r="I401" t="s">
        <v>71</v>
      </c>
      <c r="J401" t="s">
        <v>95</v>
      </c>
      <c r="K401">
        <v>3</v>
      </c>
      <c r="L401">
        <v>770</v>
      </c>
      <c r="M401">
        <v>2310</v>
      </c>
      <c r="N401">
        <v>15</v>
      </c>
      <c r="O401">
        <v>346</v>
      </c>
      <c r="P401">
        <v>1964</v>
      </c>
      <c r="Q401">
        <v>1015</v>
      </c>
      <c r="R401">
        <v>949</v>
      </c>
      <c r="S401">
        <v>0</v>
      </c>
      <c r="T401">
        <v>0</v>
      </c>
      <c r="U401">
        <v>4.4000000000000004</v>
      </c>
    </row>
    <row r="402" spans="1:21" x14ac:dyDescent="0.35">
      <c r="A402" t="s">
        <v>144</v>
      </c>
      <c r="B402" t="s">
        <v>28</v>
      </c>
      <c r="C402" s="32">
        <v>44957</v>
      </c>
      <c r="D402" t="s">
        <v>93</v>
      </c>
      <c r="E402" t="s">
        <v>48</v>
      </c>
      <c r="F402" t="s">
        <v>94</v>
      </c>
      <c r="G402" t="s">
        <v>57</v>
      </c>
      <c r="H402" t="s">
        <v>68</v>
      </c>
      <c r="I402" t="s">
        <v>71</v>
      </c>
      <c r="J402" t="s">
        <v>103</v>
      </c>
      <c r="K402">
        <v>3</v>
      </c>
      <c r="L402">
        <v>1820</v>
      </c>
      <c r="M402">
        <v>5460</v>
      </c>
      <c r="N402">
        <v>20</v>
      </c>
      <c r="O402">
        <v>1092</v>
      </c>
      <c r="P402">
        <v>4368</v>
      </c>
      <c r="Q402">
        <v>2282</v>
      </c>
      <c r="R402">
        <v>2086</v>
      </c>
      <c r="S402">
        <v>1</v>
      </c>
      <c r="T402">
        <v>1456</v>
      </c>
      <c r="U402">
        <v>4.9000000000000004</v>
      </c>
    </row>
    <row r="403" spans="1:21" x14ac:dyDescent="0.35">
      <c r="A403" t="s">
        <v>145</v>
      </c>
      <c r="B403" t="s">
        <v>29</v>
      </c>
      <c r="C403" s="32">
        <v>44958</v>
      </c>
      <c r="D403" t="s">
        <v>142</v>
      </c>
      <c r="E403" t="s">
        <v>56</v>
      </c>
      <c r="F403" t="s">
        <v>94</v>
      </c>
      <c r="G403" t="s">
        <v>49</v>
      </c>
      <c r="H403" t="s">
        <v>64</v>
      </c>
      <c r="I403" t="s">
        <v>71</v>
      </c>
      <c r="J403" t="s">
        <v>99</v>
      </c>
      <c r="K403">
        <v>9</v>
      </c>
      <c r="L403">
        <v>4620</v>
      </c>
      <c r="M403">
        <v>41580</v>
      </c>
      <c r="N403">
        <v>50</v>
      </c>
      <c r="O403">
        <v>20790</v>
      </c>
      <c r="P403">
        <v>20790</v>
      </c>
      <c r="Q403">
        <v>10174</v>
      </c>
      <c r="R403">
        <v>10616</v>
      </c>
      <c r="S403">
        <v>2</v>
      </c>
      <c r="T403">
        <v>4620</v>
      </c>
      <c r="U403">
        <v>2.7</v>
      </c>
    </row>
    <row r="404" spans="1:21" x14ac:dyDescent="0.35">
      <c r="A404" t="s">
        <v>149</v>
      </c>
      <c r="B404" t="s">
        <v>29</v>
      </c>
      <c r="C404" s="32">
        <v>44962</v>
      </c>
      <c r="D404" t="s">
        <v>115</v>
      </c>
      <c r="E404" t="s">
        <v>58</v>
      </c>
      <c r="F404" t="s">
        <v>108</v>
      </c>
      <c r="G404" t="s">
        <v>53</v>
      </c>
      <c r="H404" t="s">
        <v>66</v>
      </c>
      <c r="I404" t="s">
        <v>71</v>
      </c>
      <c r="J404" t="s">
        <v>99</v>
      </c>
      <c r="K404">
        <v>11</v>
      </c>
      <c r="L404">
        <v>4910</v>
      </c>
      <c r="M404">
        <v>54010</v>
      </c>
      <c r="N404">
        <v>50</v>
      </c>
      <c r="O404">
        <v>27005</v>
      </c>
      <c r="P404">
        <v>27005</v>
      </c>
      <c r="Q404">
        <v>14388</v>
      </c>
      <c r="R404">
        <v>12617</v>
      </c>
      <c r="S404">
        <v>0</v>
      </c>
      <c r="T404">
        <v>0</v>
      </c>
      <c r="U404">
        <v>2.8</v>
      </c>
    </row>
    <row r="405" spans="1:21" x14ac:dyDescent="0.35">
      <c r="A405" t="s">
        <v>162</v>
      </c>
      <c r="B405" t="s">
        <v>29</v>
      </c>
      <c r="C405" s="32">
        <v>44971</v>
      </c>
      <c r="D405" t="s">
        <v>101</v>
      </c>
      <c r="E405" t="s">
        <v>50</v>
      </c>
      <c r="F405" t="s">
        <v>98</v>
      </c>
      <c r="G405" t="s">
        <v>51</v>
      </c>
      <c r="H405" t="s">
        <v>64</v>
      </c>
      <c r="I405" t="s">
        <v>71</v>
      </c>
      <c r="J405" t="s">
        <v>103</v>
      </c>
      <c r="K405">
        <v>6</v>
      </c>
      <c r="L405">
        <v>4346</v>
      </c>
      <c r="M405">
        <v>26076</v>
      </c>
      <c r="N405">
        <v>30</v>
      </c>
      <c r="O405">
        <v>7823</v>
      </c>
      <c r="P405">
        <v>18253</v>
      </c>
      <c r="Q405">
        <v>8971</v>
      </c>
      <c r="R405">
        <v>9282</v>
      </c>
      <c r="S405">
        <v>0</v>
      </c>
      <c r="T405">
        <v>0</v>
      </c>
      <c r="U405">
        <v>4.5</v>
      </c>
    </row>
    <row r="406" spans="1:21" x14ac:dyDescent="0.35">
      <c r="A406" t="s">
        <v>166</v>
      </c>
      <c r="B406" t="s">
        <v>29</v>
      </c>
      <c r="C406" s="32">
        <v>44973</v>
      </c>
      <c r="D406" t="s">
        <v>122</v>
      </c>
      <c r="E406" t="s">
        <v>56</v>
      </c>
      <c r="F406" t="s">
        <v>102</v>
      </c>
      <c r="G406" t="s">
        <v>49</v>
      </c>
      <c r="H406" t="s">
        <v>64</v>
      </c>
      <c r="I406" t="s">
        <v>71</v>
      </c>
      <c r="J406" t="s">
        <v>103</v>
      </c>
      <c r="K406">
        <v>9</v>
      </c>
      <c r="L406">
        <v>935</v>
      </c>
      <c r="M406">
        <v>8415</v>
      </c>
      <c r="N406">
        <v>30</v>
      </c>
      <c r="O406">
        <v>2524</v>
      </c>
      <c r="P406">
        <v>5891</v>
      </c>
      <c r="Q406">
        <v>3127</v>
      </c>
      <c r="R406">
        <v>2764</v>
      </c>
      <c r="S406">
        <v>0</v>
      </c>
      <c r="T406">
        <v>0</v>
      </c>
      <c r="U406">
        <v>2.9</v>
      </c>
    </row>
    <row r="407" spans="1:21" x14ac:dyDescent="0.35">
      <c r="A407" t="s">
        <v>182</v>
      </c>
      <c r="B407" t="s">
        <v>29</v>
      </c>
      <c r="C407" s="32">
        <v>44981</v>
      </c>
      <c r="D407" t="s">
        <v>122</v>
      </c>
      <c r="E407" t="s">
        <v>59</v>
      </c>
      <c r="F407" t="s">
        <v>98</v>
      </c>
      <c r="G407" t="s">
        <v>53</v>
      </c>
      <c r="H407" t="s">
        <v>64</v>
      </c>
      <c r="I407" t="s">
        <v>71</v>
      </c>
      <c r="J407" t="s">
        <v>103</v>
      </c>
      <c r="K407">
        <v>9</v>
      </c>
      <c r="L407">
        <v>2922</v>
      </c>
      <c r="M407">
        <v>26298</v>
      </c>
      <c r="N407">
        <v>15</v>
      </c>
      <c r="O407">
        <v>3945</v>
      </c>
      <c r="P407">
        <v>22353</v>
      </c>
      <c r="Q407">
        <v>12550</v>
      </c>
      <c r="R407">
        <v>9803</v>
      </c>
      <c r="S407">
        <v>1</v>
      </c>
      <c r="T407">
        <v>2484</v>
      </c>
      <c r="U407">
        <v>3.7</v>
      </c>
    </row>
    <row r="408" spans="1:21" x14ac:dyDescent="0.35">
      <c r="A408" t="s">
        <v>186</v>
      </c>
      <c r="B408" t="s">
        <v>29</v>
      </c>
      <c r="C408" s="32">
        <v>44982</v>
      </c>
      <c r="D408" t="s">
        <v>97</v>
      </c>
      <c r="E408" t="s">
        <v>50</v>
      </c>
      <c r="F408" t="s">
        <v>124</v>
      </c>
      <c r="G408" t="s">
        <v>49</v>
      </c>
      <c r="H408" t="s">
        <v>64</v>
      </c>
      <c r="I408" t="s">
        <v>71</v>
      </c>
      <c r="J408" t="s">
        <v>103</v>
      </c>
      <c r="K408">
        <v>7</v>
      </c>
      <c r="L408">
        <v>4923</v>
      </c>
      <c r="M408">
        <v>34461</v>
      </c>
      <c r="N408">
        <v>0</v>
      </c>
      <c r="O408">
        <v>0</v>
      </c>
      <c r="P408">
        <v>34461</v>
      </c>
      <c r="Q408">
        <v>20312</v>
      </c>
      <c r="R408">
        <v>14149</v>
      </c>
      <c r="S408">
        <v>0</v>
      </c>
      <c r="T408">
        <v>0</v>
      </c>
      <c r="U408">
        <v>3</v>
      </c>
    </row>
    <row r="409" spans="1:21" x14ac:dyDescent="0.35">
      <c r="A409" t="s">
        <v>189</v>
      </c>
      <c r="B409" t="s">
        <v>29</v>
      </c>
      <c r="C409" s="32">
        <v>44984</v>
      </c>
      <c r="D409" t="s">
        <v>93</v>
      </c>
      <c r="E409" t="s">
        <v>50</v>
      </c>
      <c r="F409" t="s">
        <v>111</v>
      </c>
      <c r="G409" t="s">
        <v>51</v>
      </c>
      <c r="H409" t="s">
        <v>66</v>
      </c>
      <c r="I409" t="s">
        <v>71</v>
      </c>
      <c r="J409" t="s">
        <v>103</v>
      </c>
      <c r="K409">
        <v>13</v>
      </c>
      <c r="L409">
        <v>4834</v>
      </c>
      <c r="M409">
        <v>62842</v>
      </c>
      <c r="N409">
        <v>5</v>
      </c>
      <c r="O409">
        <v>3142</v>
      </c>
      <c r="P409">
        <v>59700</v>
      </c>
      <c r="Q409">
        <v>40670</v>
      </c>
      <c r="R409">
        <v>19030</v>
      </c>
      <c r="S409">
        <v>0</v>
      </c>
      <c r="T409">
        <v>0</v>
      </c>
      <c r="U409">
        <v>4.5</v>
      </c>
    </row>
    <row r="410" spans="1:21" x14ac:dyDescent="0.35">
      <c r="A410" t="s">
        <v>197</v>
      </c>
      <c r="B410" t="s">
        <v>30</v>
      </c>
      <c r="C410" s="32">
        <v>44992</v>
      </c>
      <c r="D410" t="s">
        <v>142</v>
      </c>
      <c r="E410" t="s">
        <v>59</v>
      </c>
      <c r="F410" t="s">
        <v>116</v>
      </c>
      <c r="G410" t="s">
        <v>53</v>
      </c>
      <c r="H410" t="s">
        <v>68</v>
      </c>
      <c r="I410" t="s">
        <v>71</v>
      </c>
      <c r="J410" t="s">
        <v>99</v>
      </c>
      <c r="K410">
        <v>13</v>
      </c>
      <c r="L410">
        <v>977</v>
      </c>
      <c r="M410">
        <v>12701</v>
      </c>
      <c r="N410">
        <v>50</v>
      </c>
      <c r="O410">
        <v>6350</v>
      </c>
      <c r="P410">
        <v>6351</v>
      </c>
      <c r="Q410">
        <v>3495</v>
      </c>
      <c r="R410">
        <v>2856</v>
      </c>
      <c r="S410">
        <v>0</v>
      </c>
      <c r="T410">
        <v>0</v>
      </c>
      <c r="U410">
        <v>2.6</v>
      </c>
    </row>
    <row r="411" spans="1:21" x14ac:dyDescent="0.35">
      <c r="A411" t="s">
        <v>198</v>
      </c>
      <c r="B411" t="s">
        <v>30</v>
      </c>
      <c r="C411" s="32">
        <v>44992</v>
      </c>
      <c r="D411" t="s">
        <v>142</v>
      </c>
      <c r="E411" t="s">
        <v>52</v>
      </c>
      <c r="F411" t="s">
        <v>151</v>
      </c>
      <c r="G411" t="s">
        <v>57</v>
      </c>
      <c r="H411" t="s">
        <v>68</v>
      </c>
      <c r="I411" t="s">
        <v>71</v>
      </c>
      <c r="J411" t="s">
        <v>95</v>
      </c>
      <c r="K411">
        <v>3</v>
      </c>
      <c r="L411">
        <v>3130</v>
      </c>
      <c r="M411">
        <v>9390</v>
      </c>
      <c r="N411">
        <v>15</v>
      </c>
      <c r="O411">
        <v>1408</v>
      </c>
      <c r="P411">
        <v>7982</v>
      </c>
      <c r="Q411">
        <v>4868</v>
      </c>
      <c r="R411">
        <v>3114</v>
      </c>
      <c r="S411">
        <v>0</v>
      </c>
      <c r="T411">
        <v>0</v>
      </c>
      <c r="U411">
        <v>4.8</v>
      </c>
    </row>
    <row r="412" spans="1:21" x14ac:dyDescent="0.35">
      <c r="A412" t="s">
        <v>202</v>
      </c>
      <c r="B412" t="s">
        <v>30</v>
      </c>
      <c r="C412" s="32">
        <v>44994</v>
      </c>
      <c r="D412" t="s">
        <v>93</v>
      </c>
      <c r="E412" t="s">
        <v>59</v>
      </c>
      <c r="F412" t="s">
        <v>151</v>
      </c>
      <c r="G412" t="s">
        <v>51</v>
      </c>
      <c r="H412" t="s">
        <v>66</v>
      </c>
      <c r="I412" t="s">
        <v>71</v>
      </c>
      <c r="J412" t="s">
        <v>103</v>
      </c>
      <c r="K412">
        <v>7</v>
      </c>
      <c r="L412">
        <v>4184</v>
      </c>
      <c r="M412">
        <v>29288</v>
      </c>
      <c r="N412">
        <v>5</v>
      </c>
      <c r="O412">
        <v>1464</v>
      </c>
      <c r="P412">
        <v>27824</v>
      </c>
      <c r="Q412">
        <v>13755</v>
      </c>
      <c r="R412">
        <v>14069</v>
      </c>
      <c r="S412">
        <v>0</v>
      </c>
      <c r="T412">
        <v>0</v>
      </c>
      <c r="U412">
        <v>4.7</v>
      </c>
    </row>
    <row r="413" spans="1:21" x14ac:dyDescent="0.35">
      <c r="A413" t="s">
        <v>205</v>
      </c>
      <c r="B413" t="s">
        <v>30</v>
      </c>
      <c r="C413" s="32">
        <v>45000</v>
      </c>
      <c r="D413" t="s">
        <v>142</v>
      </c>
      <c r="E413" t="s">
        <v>54</v>
      </c>
      <c r="F413" t="s">
        <v>111</v>
      </c>
      <c r="G413" t="s">
        <v>51</v>
      </c>
      <c r="H413" t="s">
        <v>66</v>
      </c>
      <c r="I413" t="s">
        <v>71</v>
      </c>
      <c r="J413" t="s">
        <v>103</v>
      </c>
      <c r="K413">
        <v>5</v>
      </c>
      <c r="L413">
        <v>3810</v>
      </c>
      <c r="M413">
        <v>19050</v>
      </c>
      <c r="N413">
        <v>30</v>
      </c>
      <c r="O413">
        <v>5715</v>
      </c>
      <c r="P413">
        <v>13335</v>
      </c>
      <c r="Q413">
        <v>8994</v>
      </c>
      <c r="R413">
        <v>4341</v>
      </c>
      <c r="S413">
        <v>1</v>
      </c>
      <c r="T413">
        <v>2667</v>
      </c>
      <c r="U413">
        <v>3.4</v>
      </c>
    </row>
    <row r="414" spans="1:21" x14ac:dyDescent="0.35">
      <c r="A414" t="s">
        <v>210</v>
      </c>
      <c r="B414" t="s">
        <v>30</v>
      </c>
      <c r="C414" s="32">
        <v>45005</v>
      </c>
      <c r="D414" t="s">
        <v>105</v>
      </c>
      <c r="E414" t="s">
        <v>59</v>
      </c>
      <c r="F414" t="s">
        <v>116</v>
      </c>
      <c r="G414" t="s">
        <v>55</v>
      </c>
      <c r="H414" t="s">
        <v>66</v>
      </c>
      <c r="I414" t="s">
        <v>71</v>
      </c>
      <c r="J414" t="s">
        <v>103</v>
      </c>
      <c r="K414">
        <v>2</v>
      </c>
      <c r="L414">
        <v>1343</v>
      </c>
      <c r="M414">
        <v>2686</v>
      </c>
      <c r="N414">
        <v>20</v>
      </c>
      <c r="O414">
        <v>537</v>
      </c>
      <c r="P414">
        <v>2149</v>
      </c>
      <c r="Q414">
        <v>1390</v>
      </c>
      <c r="R414">
        <v>759</v>
      </c>
      <c r="S414">
        <v>0</v>
      </c>
      <c r="T414">
        <v>0</v>
      </c>
      <c r="U414">
        <v>2.8</v>
      </c>
    </row>
    <row r="415" spans="1:21" x14ac:dyDescent="0.35">
      <c r="A415" t="s">
        <v>219</v>
      </c>
      <c r="B415" t="s">
        <v>30</v>
      </c>
      <c r="C415" s="32">
        <v>45012</v>
      </c>
      <c r="D415" t="s">
        <v>131</v>
      </c>
      <c r="E415" t="s">
        <v>56</v>
      </c>
      <c r="F415" t="s">
        <v>94</v>
      </c>
      <c r="G415" t="s">
        <v>55</v>
      </c>
      <c r="H415" t="s">
        <v>66</v>
      </c>
      <c r="I415" t="s">
        <v>71</v>
      </c>
      <c r="J415" t="s">
        <v>103</v>
      </c>
      <c r="K415">
        <v>7</v>
      </c>
      <c r="L415">
        <v>4289</v>
      </c>
      <c r="M415">
        <v>30023</v>
      </c>
      <c r="N415">
        <v>5</v>
      </c>
      <c r="O415">
        <v>1501</v>
      </c>
      <c r="P415">
        <v>28522</v>
      </c>
      <c r="Q415">
        <v>13399</v>
      </c>
      <c r="R415">
        <v>15123</v>
      </c>
      <c r="S415">
        <v>1</v>
      </c>
      <c r="T415">
        <v>4075</v>
      </c>
      <c r="U415">
        <v>3.1</v>
      </c>
    </row>
    <row r="416" spans="1:21" x14ac:dyDescent="0.35">
      <c r="A416" t="s">
        <v>222</v>
      </c>
      <c r="B416" t="s">
        <v>30</v>
      </c>
      <c r="C416" s="32">
        <v>45016</v>
      </c>
      <c r="D416" t="s">
        <v>142</v>
      </c>
      <c r="E416" t="s">
        <v>58</v>
      </c>
      <c r="F416" t="s">
        <v>108</v>
      </c>
      <c r="G416" t="s">
        <v>53</v>
      </c>
      <c r="H416" t="s">
        <v>68</v>
      </c>
      <c r="I416" t="s">
        <v>71</v>
      </c>
      <c r="J416" t="s">
        <v>99</v>
      </c>
      <c r="K416">
        <v>13</v>
      </c>
      <c r="L416">
        <v>3761</v>
      </c>
      <c r="M416">
        <v>48893</v>
      </c>
      <c r="N416">
        <v>5</v>
      </c>
      <c r="O416">
        <v>2445</v>
      </c>
      <c r="P416">
        <v>46448</v>
      </c>
      <c r="Q416">
        <v>25327</v>
      </c>
      <c r="R416">
        <v>21121</v>
      </c>
      <c r="S416">
        <v>2</v>
      </c>
      <c r="T416">
        <v>7146</v>
      </c>
      <c r="U416">
        <v>3.7</v>
      </c>
    </row>
    <row r="417" spans="1:21" x14ac:dyDescent="0.35">
      <c r="A417" t="s">
        <v>224</v>
      </c>
      <c r="B417" t="s">
        <v>31</v>
      </c>
      <c r="C417" s="32">
        <v>45018</v>
      </c>
      <c r="D417" t="s">
        <v>122</v>
      </c>
      <c r="E417" t="s">
        <v>48</v>
      </c>
      <c r="F417" t="s">
        <v>108</v>
      </c>
      <c r="G417" t="s">
        <v>49</v>
      </c>
      <c r="H417" t="s">
        <v>64</v>
      </c>
      <c r="I417" t="s">
        <v>71</v>
      </c>
      <c r="J417" t="s">
        <v>99</v>
      </c>
      <c r="K417">
        <v>6</v>
      </c>
      <c r="L417">
        <v>3723</v>
      </c>
      <c r="M417">
        <v>22338</v>
      </c>
      <c r="N417">
        <v>25</v>
      </c>
      <c r="O417">
        <v>5584</v>
      </c>
      <c r="P417">
        <v>16754</v>
      </c>
      <c r="Q417">
        <v>9367</v>
      </c>
      <c r="R417">
        <v>7387</v>
      </c>
      <c r="S417">
        <v>0</v>
      </c>
      <c r="T417">
        <v>0</v>
      </c>
      <c r="U417">
        <v>3.5</v>
      </c>
    </row>
    <row r="418" spans="1:21" x14ac:dyDescent="0.35">
      <c r="A418" t="s">
        <v>226</v>
      </c>
      <c r="B418" t="s">
        <v>31</v>
      </c>
      <c r="C418" s="32">
        <v>45018</v>
      </c>
      <c r="D418" t="s">
        <v>120</v>
      </c>
      <c r="E418" t="s">
        <v>58</v>
      </c>
      <c r="F418" t="s">
        <v>108</v>
      </c>
      <c r="G418" t="s">
        <v>57</v>
      </c>
      <c r="H418" t="s">
        <v>64</v>
      </c>
      <c r="I418" t="s">
        <v>71</v>
      </c>
      <c r="J418" t="s">
        <v>95</v>
      </c>
      <c r="K418">
        <v>15</v>
      </c>
      <c r="L418">
        <v>1515</v>
      </c>
      <c r="M418">
        <v>22725</v>
      </c>
      <c r="N418">
        <v>30</v>
      </c>
      <c r="O418">
        <v>6818</v>
      </c>
      <c r="P418">
        <v>15907</v>
      </c>
      <c r="Q418">
        <v>8952</v>
      </c>
      <c r="R418">
        <v>6955</v>
      </c>
      <c r="S418">
        <v>3</v>
      </c>
      <c r="T418">
        <v>3182</v>
      </c>
      <c r="U418">
        <v>3.6</v>
      </c>
    </row>
    <row r="419" spans="1:21" x14ac:dyDescent="0.35">
      <c r="A419" t="s">
        <v>228</v>
      </c>
      <c r="B419" t="s">
        <v>31</v>
      </c>
      <c r="C419" s="32">
        <v>45018</v>
      </c>
      <c r="D419" t="s">
        <v>105</v>
      </c>
      <c r="E419" t="s">
        <v>52</v>
      </c>
      <c r="F419" t="s">
        <v>108</v>
      </c>
      <c r="G419" t="s">
        <v>57</v>
      </c>
      <c r="H419" t="s">
        <v>66</v>
      </c>
      <c r="I419" t="s">
        <v>71</v>
      </c>
      <c r="J419" t="s">
        <v>103</v>
      </c>
      <c r="K419">
        <v>13</v>
      </c>
      <c r="L419">
        <v>2941</v>
      </c>
      <c r="M419">
        <v>38233</v>
      </c>
      <c r="N419">
        <v>40</v>
      </c>
      <c r="O419">
        <v>15293</v>
      </c>
      <c r="P419">
        <v>22940</v>
      </c>
      <c r="Q419">
        <v>14620</v>
      </c>
      <c r="R419">
        <v>8320</v>
      </c>
      <c r="S419">
        <v>2</v>
      </c>
      <c r="T419">
        <v>3529</v>
      </c>
      <c r="U419">
        <v>4.8</v>
      </c>
    </row>
    <row r="420" spans="1:21" x14ac:dyDescent="0.35">
      <c r="A420" t="s">
        <v>234</v>
      </c>
      <c r="B420" t="s">
        <v>31</v>
      </c>
      <c r="C420" s="32">
        <v>45024</v>
      </c>
      <c r="D420" t="s">
        <v>131</v>
      </c>
      <c r="E420" t="s">
        <v>54</v>
      </c>
      <c r="F420" t="s">
        <v>151</v>
      </c>
      <c r="G420" t="s">
        <v>55</v>
      </c>
      <c r="H420" t="s">
        <v>64</v>
      </c>
      <c r="I420" t="s">
        <v>71</v>
      </c>
      <c r="J420" t="s">
        <v>103</v>
      </c>
      <c r="K420">
        <v>11</v>
      </c>
      <c r="L420">
        <v>3680</v>
      </c>
      <c r="M420">
        <v>40480</v>
      </c>
      <c r="N420">
        <v>15</v>
      </c>
      <c r="O420">
        <v>6072</v>
      </c>
      <c r="P420">
        <v>34408</v>
      </c>
      <c r="Q420">
        <v>18617</v>
      </c>
      <c r="R420">
        <v>15791</v>
      </c>
      <c r="S420">
        <v>0</v>
      </c>
      <c r="T420">
        <v>0</v>
      </c>
      <c r="U420">
        <v>4.9000000000000004</v>
      </c>
    </row>
    <row r="421" spans="1:21" x14ac:dyDescent="0.35">
      <c r="A421" t="s">
        <v>238</v>
      </c>
      <c r="B421" t="s">
        <v>31</v>
      </c>
      <c r="C421" s="32">
        <v>45026</v>
      </c>
      <c r="D421" t="s">
        <v>122</v>
      </c>
      <c r="E421" t="s">
        <v>59</v>
      </c>
      <c r="F421" t="s">
        <v>111</v>
      </c>
      <c r="G421" t="s">
        <v>57</v>
      </c>
      <c r="H421" t="s">
        <v>64</v>
      </c>
      <c r="I421" t="s">
        <v>71</v>
      </c>
      <c r="J421" t="s">
        <v>99</v>
      </c>
      <c r="K421">
        <v>11</v>
      </c>
      <c r="L421">
        <v>2882</v>
      </c>
      <c r="M421">
        <v>31702</v>
      </c>
      <c r="N421">
        <v>20</v>
      </c>
      <c r="O421">
        <v>6340</v>
      </c>
      <c r="P421">
        <v>25362</v>
      </c>
      <c r="Q421">
        <v>15672</v>
      </c>
      <c r="R421">
        <v>9690</v>
      </c>
      <c r="S421">
        <v>1</v>
      </c>
      <c r="T421">
        <v>2306</v>
      </c>
      <c r="U421">
        <v>2.7</v>
      </c>
    </row>
    <row r="422" spans="1:21" x14ac:dyDescent="0.35">
      <c r="A422" t="s">
        <v>241</v>
      </c>
      <c r="B422" t="s">
        <v>31</v>
      </c>
      <c r="C422" s="32">
        <v>45029</v>
      </c>
      <c r="D422" t="s">
        <v>105</v>
      </c>
      <c r="E422" t="s">
        <v>48</v>
      </c>
      <c r="F422" t="s">
        <v>102</v>
      </c>
      <c r="G422" t="s">
        <v>51</v>
      </c>
      <c r="H422" t="s">
        <v>66</v>
      </c>
      <c r="I422" t="s">
        <v>71</v>
      </c>
      <c r="J422" t="s">
        <v>95</v>
      </c>
      <c r="K422">
        <v>12</v>
      </c>
      <c r="L422">
        <v>2469</v>
      </c>
      <c r="M422">
        <v>29628</v>
      </c>
      <c r="N422">
        <v>15</v>
      </c>
      <c r="O422">
        <v>4444</v>
      </c>
      <c r="P422">
        <v>25184</v>
      </c>
      <c r="Q422">
        <v>14093</v>
      </c>
      <c r="R422">
        <v>11091</v>
      </c>
      <c r="S422">
        <v>2</v>
      </c>
      <c r="T422">
        <v>4197</v>
      </c>
      <c r="U422">
        <v>4.5999999999999996</v>
      </c>
    </row>
    <row r="423" spans="1:21" x14ac:dyDescent="0.35">
      <c r="A423" t="s">
        <v>242</v>
      </c>
      <c r="B423" t="s">
        <v>31</v>
      </c>
      <c r="C423" s="32">
        <v>45032</v>
      </c>
      <c r="D423" t="s">
        <v>131</v>
      </c>
      <c r="E423" t="s">
        <v>54</v>
      </c>
      <c r="F423" t="s">
        <v>98</v>
      </c>
      <c r="G423" t="s">
        <v>57</v>
      </c>
      <c r="H423" t="s">
        <v>64</v>
      </c>
      <c r="I423" t="s">
        <v>71</v>
      </c>
      <c r="J423" t="s">
        <v>95</v>
      </c>
      <c r="K423">
        <v>6</v>
      </c>
      <c r="L423">
        <v>1831</v>
      </c>
      <c r="M423">
        <v>10986</v>
      </c>
      <c r="N423">
        <v>40</v>
      </c>
      <c r="O423">
        <v>4394</v>
      </c>
      <c r="P423">
        <v>6592</v>
      </c>
      <c r="Q423">
        <v>3154</v>
      </c>
      <c r="R423">
        <v>3438</v>
      </c>
      <c r="S423">
        <v>1</v>
      </c>
      <c r="T423">
        <v>1099</v>
      </c>
      <c r="U423">
        <v>3.8</v>
      </c>
    </row>
    <row r="424" spans="1:21" x14ac:dyDescent="0.35">
      <c r="A424" t="s">
        <v>253</v>
      </c>
      <c r="B424" t="s">
        <v>31</v>
      </c>
      <c r="C424" s="32">
        <v>45038</v>
      </c>
      <c r="D424" t="s">
        <v>120</v>
      </c>
      <c r="E424" t="s">
        <v>52</v>
      </c>
      <c r="F424" t="s">
        <v>102</v>
      </c>
      <c r="G424" t="s">
        <v>57</v>
      </c>
      <c r="H424" t="s">
        <v>64</v>
      </c>
      <c r="I424" t="s">
        <v>71</v>
      </c>
      <c r="J424" t="s">
        <v>95</v>
      </c>
      <c r="K424">
        <v>12</v>
      </c>
      <c r="L424">
        <v>3353</v>
      </c>
      <c r="M424">
        <v>40236</v>
      </c>
      <c r="N424">
        <v>50</v>
      </c>
      <c r="O424">
        <v>20118</v>
      </c>
      <c r="P424">
        <v>20118</v>
      </c>
      <c r="Q424">
        <v>11163</v>
      </c>
      <c r="R424">
        <v>8955</v>
      </c>
      <c r="S424">
        <v>3</v>
      </c>
      <c r="T424">
        <v>5030</v>
      </c>
      <c r="U424">
        <v>4</v>
      </c>
    </row>
    <row r="425" spans="1:21" x14ac:dyDescent="0.35">
      <c r="A425" t="s">
        <v>257</v>
      </c>
      <c r="B425" t="s">
        <v>31</v>
      </c>
      <c r="C425" s="32">
        <v>45041</v>
      </c>
      <c r="D425" t="s">
        <v>131</v>
      </c>
      <c r="E425" t="s">
        <v>56</v>
      </c>
      <c r="F425" t="s">
        <v>102</v>
      </c>
      <c r="G425" t="s">
        <v>55</v>
      </c>
      <c r="H425" t="s">
        <v>64</v>
      </c>
      <c r="I425" t="s">
        <v>71</v>
      </c>
      <c r="J425" t="s">
        <v>103</v>
      </c>
      <c r="K425">
        <v>5</v>
      </c>
      <c r="L425">
        <v>3556</v>
      </c>
      <c r="M425">
        <v>17780</v>
      </c>
      <c r="N425">
        <v>0</v>
      </c>
      <c r="O425">
        <v>0</v>
      </c>
      <c r="P425">
        <v>17780</v>
      </c>
      <c r="Q425">
        <v>12119</v>
      </c>
      <c r="R425">
        <v>5661</v>
      </c>
      <c r="S425">
        <v>1</v>
      </c>
      <c r="T425">
        <v>3556</v>
      </c>
      <c r="U425">
        <v>3.5</v>
      </c>
    </row>
    <row r="426" spans="1:21" x14ac:dyDescent="0.35">
      <c r="A426" t="s">
        <v>259</v>
      </c>
      <c r="B426" t="s">
        <v>31</v>
      </c>
      <c r="C426" s="32">
        <v>45043</v>
      </c>
      <c r="D426" t="s">
        <v>97</v>
      </c>
      <c r="E426" t="s">
        <v>54</v>
      </c>
      <c r="F426" t="s">
        <v>111</v>
      </c>
      <c r="G426" t="s">
        <v>53</v>
      </c>
      <c r="H426" t="s">
        <v>64</v>
      </c>
      <c r="I426" t="s">
        <v>71</v>
      </c>
      <c r="J426" t="s">
        <v>95</v>
      </c>
      <c r="K426">
        <v>5</v>
      </c>
      <c r="L426">
        <v>513</v>
      </c>
      <c r="M426">
        <v>2565</v>
      </c>
      <c r="N426">
        <v>0</v>
      </c>
      <c r="O426">
        <v>0</v>
      </c>
      <c r="P426">
        <v>2565</v>
      </c>
      <c r="Q426">
        <v>1509</v>
      </c>
      <c r="R426">
        <v>1056</v>
      </c>
      <c r="S426">
        <v>0</v>
      </c>
      <c r="T426">
        <v>0</v>
      </c>
      <c r="U426">
        <v>4.0999999999999996</v>
      </c>
    </row>
    <row r="427" spans="1:21" x14ac:dyDescent="0.35">
      <c r="A427" t="s">
        <v>262</v>
      </c>
      <c r="B427" t="s">
        <v>31</v>
      </c>
      <c r="C427" s="32">
        <v>45045</v>
      </c>
      <c r="D427" t="s">
        <v>97</v>
      </c>
      <c r="E427" t="s">
        <v>58</v>
      </c>
      <c r="F427" t="s">
        <v>98</v>
      </c>
      <c r="G427" t="s">
        <v>53</v>
      </c>
      <c r="H427" t="s">
        <v>66</v>
      </c>
      <c r="I427" t="s">
        <v>71</v>
      </c>
      <c r="J427" t="s">
        <v>103</v>
      </c>
      <c r="K427">
        <v>7</v>
      </c>
      <c r="L427">
        <v>4853</v>
      </c>
      <c r="M427">
        <v>33971</v>
      </c>
      <c r="N427">
        <v>25</v>
      </c>
      <c r="O427">
        <v>8493</v>
      </c>
      <c r="P427">
        <v>25478</v>
      </c>
      <c r="Q427">
        <v>11654</v>
      </c>
      <c r="R427">
        <v>13824</v>
      </c>
      <c r="S427">
        <v>1</v>
      </c>
      <c r="T427">
        <v>3640</v>
      </c>
      <c r="U427">
        <v>4.5</v>
      </c>
    </row>
    <row r="428" spans="1:21" x14ac:dyDescent="0.35">
      <c r="A428" t="s">
        <v>275</v>
      </c>
      <c r="B428" t="s">
        <v>32</v>
      </c>
      <c r="C428" s="32">
        <v>45053</v>
      </c>
      <c r="D428" t="s">
        <v>122</v>
      </c>
      <c r="E428" t="s">
        <v>54</v>
      </c>
      <c r="F428" t="s">
        <v>98</v>
      </c>
      <c r="G428" t="s">
        <v>51</v>
      </c>
      <c r="H428" t="s">
        <v>66</v>
      </c>
      <c r="I428" t="s">
        <v>71</v>
      </c>
      <c r="J428" t="s">
        <v>103</v>
      </c>
      <c r="K428">
        <v>12</v>
      </c>
      <c r="L428">
        <v>3155</v>
      </c>
      <c r="M428">
        <v>37860</v>
      </c>
      <c r="N428">
        <v>0</v>
      </c>
      <c r="O428">
        <v>0</v>
      </c>
      <c r="P428">
        <v>37860</v>
      </c>
      <c r="Q428">
        <v>25062</v>
      </c>
      <c r="R428">
        <v>12798</v>
      </c>
      <c r="S428">
        <v>2</v>
      </c>
      <c r="T428">
        <v>6310</v>
      </c>
      <c r="U428">
        <v>3</v>
      </c>
    </row>
    <row r="429" spans="1:21" x14ac:dyDescent="0.35">
      <c r="A429" t="s">
        <v>278</v>
      </c>
      <c r="B429" t="s">
        <v>32</v>
      </c>
      <c r="C429" s="32">
        <v>45054</v>
      </c>
      <c r="D429" t="s">
        <v>105</v>
      </c>
      <c r="E429" t="s">
        <v>52</v>
      </c>
      <c r="F429" t="s">
        <v>124</v>
      </c>
      <c r="G429" t="s">
        <v>49</v>
      </c>
      <c r="H429" t="s">
        <v>66</v>
      </c>
      <c r="I429" t="s">
        <v>71</v>
      </c>
      <c r="J429" t="s">
        <v>99</v>
      </c>
      <c r="K429">
        <v>15</v>
      </c>
      <c r="L429">
        <v>4856</v>
      </c>
      <c r="M429">
        <v>72840</v>
      </c>
      <c r="N429">
        <v>0</v>
      </c>
      <c r="O429">
        <v>0</v>
      </c>
      <c r="P429">
        <v>72840</v>
      </c>
      <c r="Q429">
        <v>33867</v>
      </c>
      <c r="R429">
        <v>38973</v>
      </c>
      <c r="S429">
        <v>1</v>
      </c>
      <c r="T429">
        <v>4856</v>
      </c>
      <c r="U429">
        <v>4.3</v>
      </c>
    </row>
    <row r="430" spans="1:21" x14ac:dyDescent="0.35">
      <c r="A430" t="s">
        <v>281</v>
      </c>
      <c r="B430" t="s">
        <v>32</v>
      </c>
      <c r="C430" s="32">
        <v>45056</v>
      </c>
      <c r="D430" t="s">
        <v>122</v>
      </c>
      <c r="E430" t="s">
        <v>52</v>
      </c>
      <c r="F430" t="s">
        <v>124</v>
      </c>
      <c r="G430" t="s">
        <v>53</v>
      </c>
      <c r="H430" t="s">
        <v>66</v>
      </c>
      <c r="I430" t="s">
        <v>71</v>
      </c>
      <c r="J430" t="s">
        <v>103</v>
      </c>
      <c r="K430">
        <v>7</v>
      </c>
      <c r="L430">
        <v>3046</v>
      </c>
      <c r="M430">
        <v>21322</v>
      </c>
      <c r="N430">
        <v>0</v>
      </c>
      <c r="O430">
        <v>0</v>
      </c>
      <c r="P430">
        <v>21322</v>
      </c>
      <c r="Q430">
        <v>12322</v>
      </c>
      <c r="R430">
        <v>9000</v>
      </c>
      <c r="S430">
        <v>1</v>
      </c>
      <c r="T430">
        <v>3046</v>
      </c>
      <c r="U430">
        <v>3.9</v>
      </c>
    </row>
    <row r="431" spans="1:21" x14ac:dyDescent="0.35">
      <c r="A431" t="s">
        <v>283</v>
      </c>
      <c r="B431" t="s">
        <v>32</v>
      </c>
      <c r="C431" s="32">
        <v>45058</v>
      </c>
      <c r="D431" t="s">
        <v>113</v>
      </c>
      <c r="E431" t="s">
        <v>52</v>
      </c>
      <c r="F431" t="s">
        <v>111</v>
      </c>
      <c r="G431" t="s">
        <v>57</v>
      </c>
      <c r="H431" t="s">
        <v>66</v>
      </c>
      <c r="I431" t="s">
        <v>71</v>
      </c>
      <c r="J431" t="s">
        <v>103</v>
      </c>
      <c r="K431">
        <v>7</v>
      </c>
      <c r="L431">
        <v>822</v>
      </c>
      <c r="M431">
        <v>5754</v>
      </c>
      <c r="N431">
        <v>20</v>
      </c>
      <c r="O431">
        <v>1151</v>
      </c>
      <c r="P431">
        <v>4603</v>
      </c>
      <c r="Q431">
        <v>2345</v>
      </c>
      <c r="R431">
        <v>2258</v>
      </c>
      <c r="S431">
        <v>0</v>
      </c>
      <c r="T431">
        <v>0</v>
      </c>
      <c r="U431">
        <v>2.6</v>
      </c>
    </row>
    <row r="432" spans="1:21" x14ac:dyDescent="0.35">
      <c r="A432" t="s">
        <v>296</v>
      </c>
      <c r="B432" t="s">
        <v>32</v>
      </c>
      <c r="C432" s="32">
        <v>45066</v>
      </c>
      <c r="D432" t="s">
        <v>131</v>
      </c>
      <c r="E432" t="s">
        <v>48</v>
      </c>
      <c r="F432" t="s">
        <v>124</v>
      </c>
      <c r="G432" t="s">
        <v>51</v>
      </c>
      <c r="H432" t="s">
        <v>66</v>
      </c>
      <c r="I432" t="s">
        <v>71</v>
      </c>
      <c r="J432" t="s">
        <v>95</v>
      </c>
      <c r="K432">
        <v>10</v>
      </c>
      <c r="L432">
        <v>3108</v>
      </c>
      <c r="M432">
        <v>31080</v>
      </c>
      <c r="N432">
        <v>30</v>
      </c>
      <c r="O432">
        <v>9324</v>
      </c>
      <c r="P432">
        <v>21756</v>
      </c>
      <c r="Q432">
        <v>12637</v>
      </c>
      <c r="R432">
        <v>9119</v>
      </c>
      <c r="S432">
        <v>2</v>
      </c>
      <c r="T432">
        <v>4351</v>
      </c>
      <c r="U432">
        <v>3.8</v>
      </c>
    </row>
    <row r="433" spans="1:21" x14ac:dyDescent="0.35">
      <c r="A433" t="s">
        <v>299</v>
      </c>
      <c r="B433" t="s">
        <v>32</v>
      </c>
      <c r="C433" s="32">
        <v>45068</v>
      </c>
      <c r="D433" t="s">
        <v>122</v>
      </c>
      <c r="E433" t="s">
        <v>56</v>
      </c>
      <c r="F433" t="s">
        <v>116</v>
      </c>
      <c r="G433" t="s">
        <v>51</v>
      </c>
      <c r="H433" t="s">
        <v>68</v>
      </c>
      <c r="I433" t="s">
        <v>71</v>
      </c>
      <c r="J433" t="s">
        <v>103</v>
      </c>
      <c r="K433">
        <v>8</v>
      </c>
      <c r="L433">
        <v>1139</v>
      </c>
      <c r="M433">
        <v>9112</v>
      </c>
      <c r="N433">
        <v>50</v>
      </c>
      <c r="O433">
        <v>4556</v>
      </c>
      <c r="P433">
        <v>4556</v>
      </c>
      <c r="Q433">
        <v>2682</v>
      </c>
      <c r="R433">
        <v>1874</v>
      </c>
      <c r="S433">
        <v>1</v>
      </c>
      <c r="T433">
        <v>570</v>
      </c>
      <c r="U433">
        <v>5</v>
      </c>
    </row>
    <row r="434" spans="1:21" x14ac:dyDescent="0.35">
      <c r="A434" t="s">
        <v>301</v>
      </c>
      <c r="B434" t="s">
        <v>32</v>
      </c>
      <c r="C434" s="32">
        <v>45069</v>
      </c>
      <c r="D434" t="s">
        <v>131</v>
      </c>
      <c r="E434" t="s">
        <v>50</v>
      </c>
      <c r="F434" t="s">
        <v>106</v>
      </c>
      <c r="G434" t="s">
        <v>55</v>
      </c>
      <c r="H434" t="s">
        <v>66</v>
      </c>
      <c r="I434" t="s">
        <v>71</v>
      </c>
      <c r="J434" t="s">
        <v>103</v>
      </c>
      <c r="K434">
        <v>7</v>
      </c>
      <c r="L434">
        <v>1880</v>
      </c>
      <c r="M434">
        <v>13160</v>
      </c>
      <c r="N434">
        <v>40</v>
      </c>
      <c r="O434">
        <v>5264</v>
      </c>
      <c r="P434">
        <v>7896</v>
      </c>
      <c r="Q434">
        <v>5233</v>
      </c>
      <c r="R434">
        <v>2663</v>
      </c>
      <c r="S434">
        <v>0</v>
      </c>
      <c r="T434">
        <v>0</v>
      </c>
      <c r="U434">
        <v>3.7</v>
      </c>
    </row>
    <row r="435" spans="1:21" x14ac:dyDescent="0.35">
      <c r="A435" t="s">
        <v>302</v>
      </c>
      <c r="B435" t="s">
        <v>32</v>
      </c>
      <c r="C435" s="32">
        <v>45070</v>
      </c>
      <c r="D435" t="s">
        <v>115</v>
      </c>
      <c r="E435" t="s">
        <v>50</v>
      </c>
      <c r="F435" t="s">
        <v>111</v>
      </c>
      <c r="G435" t="s">
        <v>49</v>
      </c>
      <c r="H435" t="s">
        <v>66</v>
      </c>
      <c r="I435" t="s">
        <v>71</v>
      </c>
      <c r="J435" t="s">
        <v>103</v>
      </c>
      <c r="K435">
        <v>4</v>
      </c>
      <c r="L435">
        <v>3341</v>
      </c>
      <c r="M435">
        <v>13364</v>
      </c>
      <c r="N435">
        <v>40</v>
      </c>
      <c r="O435">
        <v>5346</v>
      </c>
      <c r="P435">
        <v>8018</v>
      </c>
      <c r="Q435">
        <v>4434</v>
      </c>
      <c r="R435">
        <v>3584</v>
      </c>
      <c r="S435">
        <v>1</v>
      </c>
      <c r="T435">
        <v>2005</v>
      </c>
      <c r="U435">
        <v>2.7</v>
      </c>
    </row>
    <row r="436" spans="1:21" x14ac:dyDescent="0.35">
      <c r="A436" t="s">
        <v>304</v>
      </c>
      <c r="B436" t="s">
        <v>32</v>
      </c>
      <c r="C436" s="32">
        <v>45070</v>
      </c>
      <c r="D436" t="s">
        <v>101</v>
      </c>
      <c r="E436" t="s">
        <v>50</v>
      </c>
      <c r="F436" t="s">
        <v>111</v>
      </c>
      <c r="G436" t="s">
        <v>57</v>
      </c>
      <c r="H436" t="s">
        <v>64</v>
      </c>
      <c r="I436" t="s">
        <v>71</v>
      </c>
      <c r="J436" t="s">
        <v>103</v>
      </c>
      <c r="K436">
        <v>4</v>
      </c>
      <c r="L436">
        <v>4126</v>
      </c>
      <c r="M436">
        <v>16504</v>
      </c>
      <c r="N436">
        <v>20</v>
      </c>
      <c r="O436">
        <v>3301</v>
      </c>
      <c r="P436">
        <v>13203</v>
      </c>
      <c r="Q436">
        <v>8595</v>
      </c>
      <c r="R436">
        <v>4608</v>
      </c>
      <c r="S436">
        <v>1</v>
      </c>
      <c r="T436">
        <v>3301</v>
      </c>
      <c r="U436">
        <v>4.5999999999999996</v>
      </c>
    </row>
    <row r="437" spans="1:21" x14ac:dyDescent="0.35">
      <c r="A437" t="s">
        <v>305</v>
      </c>
      <c r="B437" t="s">
        <v>32</v>
      </c>
      <c r="C437" s="32">
        <v>45070</v>
      </c>
      <c r="D437" t="s">
        <v>131</v>
      </c>
      <c r="E437" t="s">
        <v>58</v>
      </c>
      <c r="F437" t="s">
        <v>151</v>
      </c>
      <c r="G437" t="s">
        <v>53</v>
      </c>
      <c r="H437" t="s">
        <v>68</v>
      </c>
      <c r="I437" t="s">
        <v>71</v>
      </c>
      <c r="J437" t="s">
        <v>95</v>
      </c>
      <c r="K437">
        <v>10</v>
      </c>
      <c r="L437">
        <v>3146</v>
      </c>
      <c r="M437">
        <v>31460</v>
      </c>
      <c r="N437">
        <v>10</v>
      </c>
      <c r="O437">
        <v>3146</v>
      </c>
      <c r="P437">
        <v>28314</v>
      </c>
      <c r="Q437">
        <v>16954</v>
      </c>
      <c r="R437">
        <v>11360</v>
      </c>
      <c r="S437">
        <v>1</v>
      </c>
      <c r="T437">
        <v>2831</v>
      </c>
      <c r="U437">
        <v>4.3</v>
      </c>
    </row>
    <row r="438" spans="1:21" x14ac:dyDescent="0.35">
      <c r="A438" t="s">
        <v>306</v>
      </c>
      <c r="B438" t="s">
        <v>32</v>
      </c>
      <c r="C438" s="32">
        <v>45070</v>
      </c>
      <c r="D438" t="s">
        <v>131</v>
      </c>
      <c r="E438" t="s">
        <v>50</v>
      </c>
      <c r="F438" t="s">
        <v>102</v>
      </c>
      <c r="G438" t="s">
        <v>49</v>
      </c>
      <c r="H438" t="s">
        <v>66</v>
      </c>
      <c r="I438" t="s">
        <v>71</v>
      </c>
      <c r="J438" t="s">
        <v>95</v>
      </c>
      <c r="K438">
        <v>4</v>
      </c>
      <c r="L438">
        <v>2520</v>
      </c>
      <c r="M438">
        <v>10080</v>
      </c>
      <c r="N438">
        <v>5</v>
      </c>
      <c r="O438">
        <v>504</v>
      </c>
      <c r="P438">
        <v>9576</v>
      </c>
      <c r="Q438">
        <v>5947</v>
      </c>
      <c r="R438">
        <v>3629</v>
      </c>
      <c r="S438">
        <v>1</v>
      </c>
      <c r="T438">
        <v>2394</v>
      </c>
      <c r="U438">
        <v>4</v>
      </c>
    </row>
    <row r="439" spans="1:21" x14ac:dyDescent="0.35">
      <c r="A439" t="s">
        <v>310</v>
      </c>
      <c r="B439" t="s">
        <v>32</v>
      </c>
      <c r="C439" s="32">
        <v>45074</v>
      </c>
      <c r="D439" t="s">
        <v>105</v>
      </c>
      <c r="E439" t="s">
        <v>50</v>
      </c>
      <c r="F439" t="s">
        <v>124</v>
      </c>
      <c r="G439" t="s">
        <v>49</v>
      </c>
      <c r="H439" t="s">
        <v>64</v>
      </c>
      <c r="I439" t="s">
        <v>71</v>
      </c>
      <c r="J439" t="s">
        <v>95</v>
      </c>
      <c r="K439">
        <v>12</v>
      </c>
      <c r="L439">
        <v>1043</v>
      </c>
      <c r="M439">
        <v>12516</v>
      </c>
      <c r="N439">
        <v>50</v>
      </c>
      <c r="O439">
        <v>6258</v>
      </c>
      <c r="P439">
        <v>6258</v>
      </c>
      <c r="Q439">
        <v>2837</v>
      </c>
      <c r="R439">
        <v>3421</v>
      </c>
      <c r="S439">
        <v>3</v>
      </c>
      <c r="T439">
        <v>1564</v>
      </c>
      <c r="U439">
        <v>2.7</v>
      </c>
    </row>
    <row r="440" spans="1:21" x14ac:dyDescent="0.35">
      <c r="A440" t="s">
        <v>311</v>
      </c>
      <c r="B440" t="s">
        <v>32</v>
      </c>
      <c r="C440" s="32">
        <v>45074</v>
      </c>
      <c r="D440" t="s">
        <v>142</v>
      </c>
      <c r="E440" t="s">
        <v>54</v>
      </c>
      <c r="F440" t="s">
        <v>108</v>
      </c>
      <c r="G440" t="s">
        <v>49</v>
      </c>
      <c r="H440" t="s">
        <v>64</v>
      </c>
      <c r="I440" t="s">
        <v>71</v>
      </c>
      <c r="J440" t="s">
        <v>95</v>
      </c>
      <c r="K440">
        <v>9</v>
      </c>
      <c r="L440">
        <v>3771</v>
      </c>
      <c r="M440">
        <v>33939</v>
      </c>
      <c r="N440">
        <v>0</v>
      </c>
      <c r="O440">
        <v>0</v>
      </c>
      <c r="P440">
        <v>33939</v>
      </c>
      <c r="Q440">
        <v>23021</v>
      </c>
      <c r="R440">
        <v>10918</v>
      </c>
      <c r="S440">
        <v>0</v>
      </c>
      <c r="T440">
        <v>0</v>
      </c>
      <c r="U440">
        <v>3.5</v>
      </c>
    </row>
    <row r="441" spans="1:21" x14ac:dyDescent="0.35">
      <c r="A441" t="s">
        <v>313</v>
      </c>
      <c r="B441" t="s">
        <v>32</v>
      </c>
      <c r="C441" s="32">
        <v>45076</v>
      </c>
      <c r="D441" t="s">
        <v>93</v>
      </c>
      <c r="E441" t="s">
        <v>58</v>
      </c>
      <c r="F441" t="s">
        <v>116</v>
      </c>
      <c r="G441" t="s">
        <v>51</v>
      </c>
      <c r="H441" t="s">
        <v>68</v>
      </c>
      <c r="I441" t="s">
        <v>71</v>
      </c>
      <c r="J441" t="s">
        <v>103</v>
      </c>
      <c r="K441">
        <v>2</v>
      </c>
      <c r="L441">
        <v>4547</v>
      </c>
      <c r="M441">
        <v>9094</v>
      </c>
      <c r="N441">
        <v>40</v>
      </c>
      <c r="O441">
        <v>3638</v>
      </c>
      <c r="P441">
        <v>5456</v>
      </c>
      <c r="Q441">
        <v>3637</v>
      </c>
      <c r="R441">
        <v>1819</v>
      </c>
      <c r="S441">
        <v>0</v>
      </c>
      <c r="T441">
        <v>0</v>
      </c>
      <c r="U441">
        <v>3</v>
      </c>
    </row>
    <row r="442" spans="1:21" x14ac:dyDescent="0.35">
      <c r="A442" t="s">
        <v>319</v>
      </c>
      <c r="B442" t="s">
        <v>33</v>
      </c>
      <c r="C442" s="32">
        <v>45080</v>
      </c>
      <c r="D442" t="s">
        <v>105</v>
      </c>
      <c r="E442" t="s">
        <v>48</v>
      </c>
      <c r="F442" t="s">
        <v>94</v>
      </c>
      <c r="G442" t="s">
        <v>57</v>
      </c>
      <c r="H442" t="s">
        <v>66</v>
      </c>
      <c r="I442" t="s">
        <v>71</v>
      </c>
      <c r="J442" t="s">
        <v>99</v>
      </c>
      <c r="K442">
        <v>12</v>
      </c>
      <c r="L442">
        <v>2945</v>
      </c>
      <c r="M442">
        <v>35340</v>
      </c>
      <c r="N442">
        <v>40</v>
      </c>
      <c r="O442">
        <v>14136</v>
      </c>
      <c r="P442">
        <v>21204</v>
      </c>
      <c r="Q442">
        <v>13866</v>
      </c>
      <c r="R442">
        <v>7338</v>
      </c>
      <c r="S442">
        <v>2</v>
      </c>
      <c r="T442">
        <v>3534</v>
      </c>
      <c r="U442">
        <v>3.3</v>
      </c>
    </row>
    <row r="443" spans="1:21" x14ac:dyDescent="0.35">
      <c r="A443" t="s">
        <v>320</v>
      </c>
      <c r="B443" t="s">
        <v>33</v>
      </c>
      <c r="C443" s="32">
        <v>45080</v>
      </c>
      <c r="D443" t="s">
        <v>105</v>
      </c>
      <c r="E443" t="s">
        <v>58</v>
      </c>
      <c r="F443" t="s">
        <v>111</v>
      </c>
      <c r="G443" t="s">
        <v>55</v>
      </c>
      <c r="H443" t="s">
        <v>64</v>
      </c>
      <c r="I443" t="s">
        <v>71</v>
      </c>
      <c r="J443" t="s">
        <v>99</v>
      </c>
      <c r="K443">
        <v>7</v>
      </c>
      <c r="L443">
        <v>2918</v>
      </c>
      <c r="M443">
        <v>20426</v>
      </c>
      <c r="N443">
        <v>10</v>
      </c>
      <c r="O443">
        <v>2043</v>
      </c>
      <c r="P443">
        <v>18383</v>
      </c>
      <c r="Q443">
        <v>10057</v>
      </c>
      <c r="R443">
        <v>8326</v>
      </c>
      <c r="S443">
        <v>1</v>
      </c>
      <c r="T443">
        <v>2626</v>
      </c>
      <c r="U443">
        <v>3</v>
      </c>
    </row>
    <row r="444" spans="1:21" x14ac:dyDescent="0.35">
      <c r="A444" t="s">
        <v>324</v>
      </c>
      <c r="B444" t="s">
        <v>33</v>
      </c>
      <c r="C444" s="32">
        <v>45085</v>
      </c>
      <c r="D444" t="s">
        <v>120</v>
      </c>
      <c r="E444" t="s">
        <v>58</v>
      </c>
      <c r="F444" t="s">
        <v>94</v>
      </c>
      <c r="G444" t="s">
        <v>51</v>
      </c>
      <c r="H444" t="s">
        <v>64</v>
      </c>
      <c r="I444" t="s">
        <v>71</v>
      </c>
      <c r="J444" t="s">
        <v>103</v>
      </c>
      <c r="K444">
        <v>3</v>
      </c>
      <c r="L444">
        <v>1263</v>
      </c>
      <c r="M444">
        <v>3789</v>
      </c>
      <c r="N444">
        <v>0</v>
      </c>
      <c r="O444">
        <v>0</v>
      </c>
      <c r="P444">
        <v>3789</v>
      </c>
      <c r="Q444">
        <v>2140</v>
      </c>
      <c r="R444">
        <v>1649</v>
      </c>
      <c r="S444">
        <v>0</v>
      </c>
      <c r="T444">
        <v>0</v>
      </c>
      <c r="U444">
        <v>2.5</v>
      </c>
    </row>
    <row r="445" spans="1:21" x14ac:dyDescent="0.35">
      <c r="A445" t="s">
        <v>327</v>
      </c>
      <c r="B445" t="s">
        <v>33</v>
      </c>
      <c r="C445" s="32">
        <v>45089</v>
      </c>
      <c r="D445" t="s">
        <v>105</v>
      </c>
      <c r="E445" t="s">
        <v>56</v>
      </c>
      <c r="F445" t="s">
        <v>124</v>
      </c>
      <c r="G445" t="s">
        <v>57</v>
      </c>
      <c r="H445" t="s">
        <v>64</v>
      </c>
      <c r="I445" t="s">
        <v>71</v>
      </c>
      <c r="J445" t="s">
        <v>95</v>
      </c>
      <c r="K445">
        <v>4</v>
      </c>
      <c r="L445">
        <v>3265</v>
      </c>
      <c r="M445">
        <v>13060</v>
      </c>
      <c r="N445">
        <v>20</v>
      </c>
      <c r="O445">
        <v>2612</v>
      </c>
      <c r="P445">
        <v>10448</v>
      </c>
      <c r="Q445">
        <v>7307</v>
      </c>
      <c r="R445">
        <v>3141</v>
      </c>
      <c r="S445">
        <v>0</v>
      </c>
      <c r="T445">
        <v>0</v>
      </c>
      <c r="U445">
        <v>3.6</v>
      </c>
    </row>
    <row r="446" spans="1:21" x14ac:dyDescent="0.35">
      <c r="A446" t="s">
        <v>328</v>
      </c>
      <c r="B446" t="s">
        <v>33</v>
      </c>
      <c r="C446" s="32">
        <v>45091</v>
      </c>
      <c r="D446" t="s">
        <v>113</v>
      </c>
      <c r="E446" t="s">
        <v>48</v>
      </c>
      <c r="F446" t="s">
        <v>98</v>
      </c>
      <c r="G446" t="s">
        <v>49</v>
      </c>
      <c r="H446" t="s">
        <v>64</v>
      </c>
      <c r="I446" t="s">
        <v>71</v>
      </c>
      <c r="J446" t="s">
        <v>103</v>
      </c>
      <c r="K446">
        <v>1</v>
      </c>
      <c r="L446">
        <v>3246</v>
      </c>
      <c r="M446">
        <v>3246</v>
      </c>
      <c r="N446">
        <v>15</v>
      </c>
      <c r="O446">
        <v>487</v>
      </c>
      <c r="P446">
        <v>2759</v>
      </c>
      <c r="Q446">
        <v>1704</v>
      </c>
      <c r="R446">
        <v>1055</v>
      </c>
      <c r="S446">
        <v>0</v>
      </c>
      <c r="T446">
        <v>0</v>
      </c>
      <c r="U446">
        <v>4.7</v>
      </c>
    </row>
    <row r="447" spans="1:21" x14ac:dyDescent="0.35">
      <c r="A447" t="s">
        <v>329</v>
      </c>
      <c r="B447" t="s">
        <v>33</v>
      </c>
      <c r="C447" s="32">
        <v>45091</v>
      </c>
      <c r="D447" t="s">
        <v>120</v>
      </c>
      <c r="E447" t="s">
        <v>52</v>
      </c>
      <c r="F447" t="s">
        <v>106</v>
      </c>
      <c r="G447" t="s">
        <v>53</v>
      </c>
      <c r="H447" t="s">
        <v>68</v>
      </c>
      <c r="I447" t="s">
        <v>71</v>
      </c>
      <c r="J447" t="s">
        <v>99</v>
      </c>
      <c r="K447">
        <v>13</v>
      </c>
      <c r="L447">
        <v>2372</v>
      </c>
      <c r="M447">
        <v>30836</v>
      </c>
      <c r="N447">
        <v>5</v>
      </c>
      <c r="O447">
        <v>1542</v>
      </c>
      <c r="P447">
        <v>29294</v>
      </c>
      <c r="Q447">
        <v>15179</v>
      </c>
      <c r="R447">
        <v>14115</v>
      </c>
      <c r="S447">
        <v>1</v>
      </c>
      <c r="T447">
        <v>2253</v>
      </c>
      <c r="U447">
        <v>3.2</v>
      </c>
    </row>
    <row r="448" spans="1:21" x14ac:dyDescent="0.35">
      <c r="A448" t="s">
        <v>347</v>
      </c>
      <c r="B448" t="s">
        <v>34</v>
      </c>
      <c r="C448" s="32">
        <v>45111</v>
      </c>
      <c r="D448" t="s">
        <v>122</v>
      </c>
      <c r="E448" t="s">
        <v>54</v>
      </c>
      <c r="F448" t="s">
        <v>106</v>
      </c>
      <c r="G448" t="s">
        <v>55</v>
      </c>
      <c r="H448" t="s">
        <v>66</v>
      </c>
      <c r="I448" t="s">
        <v>71</v>
      </c>
      <c r="J448" t="s">
        <v>95</v>
      </c>
      <c r="K448">
        <v>8</v>
      </c>
      <c r="L448">
        <v>802</v>
      </c>
      <c r="M448">
        <v>6416</v>
      </c>
      <c r="N448">
        <v>20</v>
      </c>
      <c r="O448">
        <v>1283</v>
      </c>
      <c r="P448">
        <v>5133</v>
      </c>
      <c r="Q448">
        <v>2319</v>
      </c>
      <c r="R448">
        <v>2814</v>
      </c>
      <c r="S448">
        <v>1</v>
      </c>
      <c r="T448">
        <v>642</v>
      </c>
      <c r="U448">
        <v>3.3</v>
      </c>
    </row>
    <row r="449" spans="1:21" x14ac:dyDescent="0.35">
      <c r="A449" t="s">
        <v>354</v>
      </c>
      <c r="B449" t="s">
        <v>34</v>
      </c>
      <c r="C449" s="32">
        <v>45115</v>
      </c>
      <c r="D449" t="s">
        <v>105</v>
      </c>
      <c r="E449" t="s">
        <v>58</v>
      </c>
      <c r="F449" t="s">
        <v>151</v>
      </c>
      <c r="G449" t="s">
        <v>57</v>
      </c>
      <c r="H449" t="s">
        <v>68</v>
      </c>
      <c r="I449" t="s">
        <v>71</v>
      </c>
      <c r="J449" t="s">
        <v>95</v>
      </c>
      <c r="K449">
        <v>12</v>
      </c>
      <c r="L449">
        <v>630</v>
      </c>
      <c r="M449">
        <v>7560</v>
      </c>
      <c r="N449">
        <v>20</v>
      </c>
      <c r="O449">
        <v>1512</v>
      </c>
      <c r="P449">
        <v>6048</v>
      </c>
      <c r="Q449">
        <v>2839</v>
      </c>
      <c r="R449">
        <v>3209</v>
      </c>
      <c r="S449">
        <v>1</v>
      </c>
      <c r="T449">
        <v>504</v>
      </c>
      <c r="U449">
        <v>4.9000000000000004</v>
      </c>
    </row>
    <row r="450" spans="1:21" x14ac:dyDescent="0.35">
      <c r="A450" t="s">
        <v>362</v>
      </c>
      <c r="B450" t="s">
        <v>34</v>
      </c>
      <c r="C450" s="32">
        <v>45122</v>
      </c>
      <c r="D450" t="s">
        <v>142</v>
      </c>
      <c r="E450" t="s">
        <v>58</v>
      </c>
      <c r="F450" t="s">
        <v>111</v>
      </c>
      <c r="G450" t="s">
        <v>51</v>
      </c>
      <c r="H450" t="s">
        <v>64</v>
      </c>
      <c r="I450" t="s">
        <v>71</v>
      </c>
      <c r="J450" t="s">
        <v>103</v>
      </c>
      <c r="K450">
        <v>1</v>
      </c>
      <c r="L450">
        <v>3168</v>
      </c>
      <c r="M450">
        <v>3168</v>
      </c>
      <c r="N450">
        <v>10</v>
      </c>
      <c r="O450">
        <v>317</v>
      </c>
      <c r="P450">
        <v>2851</v>
      </c>
      <c r="Q450">
        <v>1597</v>
      </c>
      <c r="R450">
        <v>1254</v>
      </c>
      <c r="S450">
        <v>0</v>
      </c>
      <c r="T450">
        <v>0</v>
      </c>
      <c r="U450">
        <v>4.0999999999999996</v>
      </c>
    </row>
    <row r="451" spans="1:21" x14ac:dyDescent="0.35">
      <c r="A451" t="s">
        <v>366</v>
      </c>
      <c r="B451" t="s">
        <v>34</v>
      </c>
      <c r="C451" s="32">
        <v>45123</v>
      </c>
      <c r="D451" t="s">
        <v>142</v>
      </c>
      <c r="E451" t="s">
        <v>50</v>
      </c>
      <c r="F451" t="s">
        <v>111</v>
      </c>
      <c r="G451" t="s">
        <v>55</v>
      </c>
      <c r="H451" t="s">
        <v>66</v>
      </c>
      <c r="I451" t="s">
        <v>71</v>
      </c>
      <c r="J451" t="s">
        <v>103</v>
      </c>
      <c r="K451">
        <v>15</v>
      </c>
      <c r="L451">
        <v>3332</v>
      </c>
      <c r="M451">
        <v>49980</v>
      </c>
      <c r="N451">
        <v>10</v>
      </c>
      <c r="O451">
        <v>4998</v>
      </c>
      <c r="P451">
        <v>44982</v>
      </c>
      <c r="Q451">
        <v>26482</v>
      </c>
      <c r="R451">
        <v>18500</v>
      </c>
      <c r="S451">
        <v>3</v>
      </c>
      <c r="T451">
        <v>8996</v>
      </c>
      <c r="U451">
        <v>3.2</v>
      </c>
    </row>
    <row r="452" spans="1:21" x14ac:dyDescent="0.35">
      <c r="A452" t="s">
        <v>367</v>
      </c>
      <c r="B452" t="s">
        <v>34</v>
      </c>
      <c r="C452" s="32">
        <v>45123</v>
      </c>
      <c r="D452" t="s">
        <v>131</v>
      </c>
      <c r="E452" t="s">
        <v>52</v>
      </c>
      <c r="F452" t="s">
        <v>116</v>
      </c>
      <c r="G452" t="s">
        <v>51</v>
      </c>
      <c r="H452" t="s">
        <v>66</v>
      </c>
      <c r="I452" t="s">
        <v>71</v>
      </c>
      <c r="J452" t="s">
        <v>95</v>
      </c>
      <c r="K452">
        <v>11</v>
      </c>
      <c r="L452">
        <v>4971</v>
      </c>
      <c r="M452">
        <v>54681</v>
      </c>
      <c r="N452">
        <v>50</v>
      </c>
      <c r="O452">
        <v>27340</v>
      </c>
      <c r="P452">
        <v>27341</v>
      </c>
      <c r="Q452">
        <v>17736</v>
      </c>
      <c r="R452">
        <v>9605</v>
      </c>
      <c r="S452">
        <v>1</v>
      </c>
      <c r="T452">
        <v>2486</v>
      </c>
      <c r="U452">
        <v>4.5</v>
      </c>
    </row>
    <row r="453" spans="1:21" x14ac:dyDescent="0.35">
      <c r="A453" t="s">
        <v>368</v>
      </c>
      <c r="B453" t="s">
        <v>34</v>
      </c>
      <c r="C453" s="32">
        <v>45124</v>
      </c>
      <c r="D453" t="s">
        <v>101</v>
      </c>
      <c r="E453" t="s">
        <v>54</v>
      </c>
      <c r="F453" t="s">
        <v>102</v>
      </c>
      <c r="G453" t="s">
        <v>53</v>
      </c>
      <c r="H453" t="s">
        <v>64</v>
      </c>
      <c r="I453" t="s">
        <v>71</v>
      </c>
      <c r="J453" t="s">
        <v>99</v>
      </c>
      <c r="K453">
        <v>9</v>
      </c>
      <c r="L453">
        <v>4072</v>
      </c>
      <c r="M453">
        <v>36648</v>
      </c>
      <c r="N453">
        <v>40</v>
      </c>
      <c r="O453">
        <v>14659</v>
      </c>
      <c r="P453">
        <v>21989</v>
      </c>
      <c r="Q453">
        <v>12571</v>
      </c>
      <c r="R453">
        <v>9418</v>
      </c>
      <c r="S453">
        <v>1</v>
      </c>
      <c r="T453">
        <v>2443</v>
      </c>
      <c r="U453">
        <v>4.7</v>
      </c>
    </row>
    <row r="454" spans="1:21" x14ac:dyDescent="0.35">
      <c r="A454" t="s">
        <v>370</v>
      </c>
      <c r="B454" t="s">
        <v>34</v>
      </c>
      <c r="C454" s="32">
        <v>45125</v>
      </c>
      <c r="D454" t="s">
        <v>131</v>
      </c>
      <c r="E454" t="s">
        <v>56</v>
      </c>
      <c r="F454" t="s">
        <v>151</v>
      </c>
      <c r="G454" t="s">
        <v>57</v>
      </c>
      <c r="H454" t="s">
        <v>66</v>
      </c>
      <c r="I454" t="s">
        <v>71</v>
      </c>
      <c r="J454" t="s">
        <v>95</v>
      </c>
      <c r="K454">
        <v>6</v>
      </c>
      <c r="L454">
        <v>3714</v>
      </c>
      <c r="M454">
        <v>22284</v>
      </c>
      <c r="N454">
        <v>15</v>
      </c>
      <c r="O454">
        <v>3343</v>
      </c>
      <c r="P454">
        <v>18941</v>
      </c>
      <c r="Q454">
        <v>11773</v>
      </c>
      <c r="R454">
        <v>7168</v>
      </c>
      <c r="S454">
        <v>1</v>
      </c>
      <c r="T454">
        <v>3157</v>
      </c>
      <c r="U454">
        <v>4.8</v>
      </c>
    </row>
    <row r="455" spans="1:21" x14ac:dyDescent="0.35">
      <c r="A455" t="s">
        <v>371</v>
      </c>
      <c r="B455" t="s">
        <v>34</v>
      </c>
      <c r="C455" s="32">
        <v>45126</v>
      </c>
      <c r="D455" t="s">
        <v>93</v>
      </c>
      <c r="E455" t="s">
        <v>54</v>
      </c>
      <c r="F455" t="s">
        <v>124</v>
      </c>
      <c r="G455" t="s">
        <v>53</v>
      </c>
      <c r="H455" t="s">
        <v>68</v>
      </c>
      <c r="I455" t="s">
        <v>71</v>
      </c>
      <c r="J455" t="s">
        <v>103</v>
      </c>
      <c r="K455">
        <v>12</v>
      </c>
      <c r="L455">
        <v>2586</v>
      </c>
      <c r="M455">
        <v>31032</v>
      </c>
      <c r="N455">
        <v>15</v>
      </c>
      <c r="O455">
        <v>4655</v>
      </c>
      <c r="P455">
        <v>26377</v>
      </c>
      <c r="Q455">
        <v>13826</v>
      </c>
      <c r="R455">
        <v>12551</v>
      </c>
      <c r="S455">
        <v>0</v>
      </c>
      <c r="T455">
        <v>0</v>
      </c>
      <c r="U455">
        <v>3.9</v>
      </c>
    </row>
    <row r="456" spans="1:21" x14ac:dyDescent="0.35">
      <c r="A456" t="s">
        <v>372</v>
      </c>
      <c r="B456" t="s">
        <v>34</v>
      </c>
      <c r="C456" s="32">
        <v>45126</v>
      </c>
      <c r="D456" t="s">
        <v>93</v>
      </c>
      <c r="E456" t="s">
        <v>56</v>
      </c>
      <c r="F456" t="s">
        <v>98</v>
      </c>
      <c r="G456" t="s">
        <v>57</v>
      </c>
      <c r="H456" t="s">
        <v>64</v>
      </c>
      <c r="I456" t="s">
        <v>71</v>
      </c>
      <c r="J456" t="s">
        <v>95</v>
      </c>
      <c r="K456">
        <v>13</v>
      </c>
      <c r="L456">
        <v>3805</v>
      </c>
      <c r="M456">
        <v>49465</v>
      </c>
      <c r="N456">
        <v>0</v>
      </c>
      <c r="O456">
        <v>0</v>
      </c>
      <c r="P456">
        <v>49465</v>
      </c>
      <c r="Q456">
        <v>30927</v>
      </c>
      <c r="R456">
        <v>18538</v>
      </c>
      <c r="S456">
        <v>0</v>
      </c>
      <c r="T456">
        <v>0</v>
      </c>
      <c r="U456">
        <v>3.4</v>
      </c>
    </row>
    <row r="457" spans="1:21" x14ac:dyDescent="0.35">
      <c r="A457" t="s">
        <v>374</v>
      </c>
      <c r="B457" t="s">
        <v>34</v>
      </c>
      <c r="C457" s="32">
        <v>45129</v>
      </c>
      <c r="D457" t="s">
        <v>142</v>
      </c>
      <c r="E457" t="s">
        <v>58</v>
      </c>
      <c r="F457" t="s">
        <v>151</v>
      </c>
      <c r="G457" t="s">
        <v>57</v>
      </c>
      <c r="H457" t="s">
        <v>66</v>
      </c>
      <c r="I457" t="s">
        <v>71</v>
      </c>
      <c r="J457" t="s">
        <v>103</v>
      </c>
      <c r="K457">
        <v>11</v>
      </c>
      <c r="L457">
        <v>4918</v>
      </c>
      <c r="M457">
        <v>54098</v>
      </c>
      <c r="N457">
        <v>10</v>
      </c>
      <c r="O457">
        <v>5410</v>
      </c>
      <c r="P457">
        <v>48688</v>
      </c>
      <c r="Q457">
        <v>23374</v>
      </c>
      <c r="R457">
        <v>25314</v>
      </c>
      <c r="S457">
        <v>1</v>
      </c>
      <c r="T457">
        <v>4426</v>
      </c>
      <c r="U457">
        <v>2.9</v>
      </c>
    </row>
    <row r="458" spans="1:21" x14ac:dyDescent="0.35">
      <c r="A458" t="s">
        <v>375</v>
      </c>
      <c r="B458" t="s">
        <v>34</v>
      </c>
      <c r="C458" s="32">
        <v>45129</v>
      </c>
      <c r="D458" t="s">
        <v>122</v>
      </c>
      <c r="E458" t="s">
        <v>56</v>
      </c>
      <c r="F458" t="s">
        <v>134</v>
      </c>
      <c r="G458" t="s">
        <v>51</v>
      </c>
      <c r="H458" t="s">
        <v>66</v>
      </c>
      <c r="I458" t="s">
        <v>71</v>
      </c>
      <c r="J458" t="s">
        <v>103</v>
      </c>
      <c r="K458">
        <v>9</v>
      </c>
      <c r="L458">
        <v>1456</v>
      </c>
      <c r="M458">
        <v>13104</v>
      </c>
      <c r="N458">
        <v>5</v>
      </c>
      <c r="O458">
        <v>655</v>
      </c>
      <c r="P458">
        <v>12449</v>
      </c>
      <c r="Q458">
        <v>6431</v>
      </c>
      <c r="R458">
        <v>6018</v>
      </c>
      <c r="S458">
        <v>1</v>
      </c>
      <c r="T458">
        <v>1383</v>
      </c>
      <c r="U458">
        <v>3.3</v>
      </c>
    </row>
    <row r="459" spans="1:21" x14ac:dyDescent="0.35">
      <c r="A459" t="s">
        <v>377</v>
      </c>
      <c r="B459" t="s">
        <v>34</v>
      </c>
      <c r="C459" s="32">
        <v>45130</v>
      </c>
      <c r="D459" t="s">
        <v>97</v>
      </c>
      <c r="E459" t="s">
        <v>48</v>
      </c>
      <c r="F459" t="s">
        <v>98</v>
      </c>
      <c r="G459" t="s">
        <v>49</v>
      </c>
      <c r="H459" t="s">
        <v>68</v>
      </c>
      <c r="I459" t="s">
        <v>71</v>
      </c>
      <c r="J459" t="s">
        <v>95</v>
      </c>
      <c r="K459">
        <v>2</v>
      </c>
      <c r="L459">
        <v>3377</v>
      </c>
      <c r="M459">
        <v>6754</v>
      </c>
      <c r="N459">
        <v>30</v>
      </c>
      <c r="O459">
        <v>2026</v>
      </c>
      <c r="P459">
        <v>4728</v>
      </c>
      <c r="Q459">
        <v>2493</v>
      </c>
      <c r="R459">
        <v>2235</v>
      </c>
      <c r="S459">
        <v>0</v>
      </c>
      <c r="T459">
        <v>0</v>
      </c>
      <c r="U459">
        <v>4.3</v>
      </c>
    </row>
    <row r="460" spans="1:21" x14ac:dyDescent="0.35">
      <c r="A460" t="s">
        <v>388</v>
      </c>
      <c r="B460" t="s">
        <v>34</v>
      </c>
      <c r="C460" s="32">
        <v>45138</v>
      </c>
      <c r="D460" t="s">
        <v>97</v>
      </c>
      <c r="E460" t="s">
        <v>56</v>
      </c>
      <c r="F460" t="s">
        <v>106</v>
      </c>
      <c r="G460" t="s">
        <v>55</v>
      </c>
      <c r="H460" t="s">
        <v>66</v>
      </c>
      <c r="I460" t="s">
        <v>71</v>
      </c>
      <c r="J460" t="s">
        <v>99</v>
      </c>
      <c r="K460">
        <v>14</v>
      </c>
      <c r="L460">
        <v>4286</v>
      </c>
      <c r="M460">
        <v>60004</v>
      </c>
      <c r="N460">
        <v>0</v>
      </c>
      <c r="O460">
        <v>0</v>
      </c>
      <c r="P460">
        <v>60004</v>
      </c>
      <c r="Q460">
        <v>37589</v>
      </c>
      <c r="R460">
        <v>22415</v>
      </c>
      <c r="S460">
        <v>1</v>
      </c>
      <c r="T460">
        <v>4286</v>
      </c>
      <c r="U460">
        <v>3.9</v>
      </c>
    </row>
    <row r="461" spans="1:21" x14ac:dyDescent="0.35">
      <c r="A461" t="s">
        <v>396</v>
      </c>
      <c r="B461" t="s">
        <v>35</v>
      </c>
      <c r="C461" s="32">
        <v>45146</v>
      </c>
      <c r="D461" t="s">
        <v>101</v>
      </c>
      <c r="E461" t="s">
        <v>52</v>
      </c>
      <c r="F461" t="s">
        <v>124</v>
      </c>
      <c r="G461" t="s">
        <v>55</v>
      </c>
      <c r="H461" t="s">
        <v>68</v>
      </c>
      <c r="I461" t="s">
        <v>71</v>
      </c>
      <c r="J461" t="s">
        <v>103</v>
      </c>
      <c r="K461">
        <v>15</v>
      </c>
      <c r="L461">
        <v>3878</v>
      </c>
      <c r="M461">
        <v>58170</v>
      </c>
      <c r="N461">
        <v>5</v>
      </c>
      <c r="O461">
        <v>2908</v>
      </c>
      <c r="P461">
        <v>55262</v>
      </c>
      <c r="Q461">
        <v>30746</v>
      </c>
      <c r="R461">
        <v>24516</v>
      </c>
      <c r="S461">
        <v>2</v>
      </c>
      <c r="T461">
        <v>7368</v>
      </c>
      <c r="U461">
        <v>3.7</v>
      </c>
    </row>
    <row r="462" spans="1:21" x14ac:dyDescent="0.35">
      <c r="A462" t="s">
        <v>399</v>
      </c>
      <c r="B462" t="s">
        <v>35</v>
      </c>
      <c r="C462" s="32">
        <v>45147</v>
      </c>
      <c r="D462" t="s">
        <v>122</v>
      </c>
      <c r="E462" t="s">
        <v>58</v>
      </c>
      <c r="F462" t="s">
        <v>116</v>
      </c>
      <c r="G462" t="s">
        <v>57</v>
      </c>
      <c r="H462" t="s">
        <v>68</v>
      </c>
      <c r="I462" t="s">
        <v>71</v>
      </c>
      <c r="J462" t="s">
        <v>103</v>
      </c>
      <c r="K462">
        <v>4</v>
      </c>
      <c r="L462">
        <v>1113</v>
      </c>
      <c r="M462">
        <v>4452</v>
      </c>
      <c r="N462">
        <v>5</v>
      </c>
      <c r="O462">
        <v>223</v>
      </c>
      <c r="P462">
        <v>4229</v>
      </c>
      <c r="Q462">
        <v>2685</v>
      </c>
      <c r="R462">
        <v>1544</v>
      </c>
      <c r="S462">
        <v>1</v>
      </c>
      <c r="T462">
        <v>1057</v>
      </c>
      <c r="U462">
        <v>2.8</v>
      </c>
    </row>
    <row r="463" spans="1:21" x14ac:dyDescent="0.35">
      <c r="A463" t="s">
        <v>403</v>
      </c>
      <c r="B463" t="s">
        <v>35</v>
      </c>
      <c r="C463" s="32">
        <v>45150</v>
      </c>
      <c r="D463" t="s">
        <v>115</v>
      </c>
      <c r="E463" t="s">
        <v>58</v>
      </c>
      <c r="F463" t="s">
        <v>124</v>
      </c>
      <c r="G463" t="s">
        <v>53</v>
      </c>
      <c r="H463" t="s">
        <v>64</v>
      </c>
      <c r="I463" t="s">
        <v>71</v>
      </c>
      <c r="J463" t="s">
        <v>103</v>
      </c>
      <c r="K463">
        <v>15</v>
      </c>
      <c r="L463">
        <v>4665</v>
      </c>
      <c r="M463">
        <v>69975</v>
      </c>
      <c r="N463">
        <v>25</v>
      </c>
      <c r="O463">
        <v>17494</v>
      </c>
      <c r="P463">
        <v>52481</v>
      </c>
      <c r="Q463">
        <v>26545</v>
      </c>
      <c r="R463">
        <v>25936</v>
      </c>
      <c r="S463">
        <v>1</v>
      </c>
      <c r="T463">
        <v>3499</v>
      </c>
      <c r="U463">
        <v>3.4</v>
      </c>
    </row>
    <row r="464" spans="1:21" x14ac:dyDescent="0.35">
      <c r="A464" t="s">
        <v>405</v>
      </c>
      <c r="B464" t="s">
        <v>35</v>
      </c>
      <c r="C464" s="32">
        <v>45152</v>
      </c>
      <c r="D464" t="s">
        <v>131</v>
      </c>
      <c r="E464" t="s">
        <v>50</v>
      </c>
      <c r="F464" t="s">
        <v>108</v>
      </c>
      <c r="G464" t="s">
        <v>55</v>
      </c>
      <c r="H464" t="s">
        <v>66</v>
      </c>
      <c r="I464" t="s">
        <v>71</v>
      </c>
      <c r="J464" t="s">
        <v>99</v>
      </c>
      <c r="K464">
        <v>3</v>
      </c>
      <c r="L464">
        <v>4138</v>
      </c>
      <c r="M464">
        <v>12414</v>
      </c>
      <c r="N464">
        <v>10</v>
      </c>
      <c r="O464">
        <v>1241</v>
      </c>
      <c r="P464">
        <v>11173</v>
      </c>
      <c r="Q464">
        <v>7466</v>
      </c>
      <c r="R464">
        <v>3707</v>
      </c>
      <c r="S464">
        <v>0</v>
      </c>
      <c r="T464">
        <v>0</v>
      </c>
      <c r="U464">
        <v>4.0999999999999996</v>
      </c>
    </row>
    <row r="465" spans="1:21" x14ac:dyDescent="0.35">
      <c r="A465" t="s">
        <v>408</v>
      </c>
      <c r="B465" t="s">
        <v>35</v>
      </c>
      <c r="C465" s="32">
        <v>45154</v>
      </c>
      <c r="D465" t="s">
        <v>122</v>
      </c>
      <c r="E465" t="s">
        <v>48</v>
      </c>
      <c r="F465" t="s">
        <v>108</v>
      </c>
      <c r="G465" t="s">
        <v>55</v>
      </c>
      <c r="H465" t="s">
        <v>64</v>
      </c>
      <c r="I465" t="s">
        <v>71</v>
      </c>
      <c r="J465" t="s">
        <v>95</v>
      </c>
      <c r="K465">
        <v>5</v>
      </c>
      <c r="L465">
        <v>4837</v>
      </c>
      <c r="M465">
        <v>24185</v>
      </c>
      <c r="N465">
        <v>40</v>
      </c>
      <c r="O465">
        <v>9674</v>
      </c>
      <c r="P465">
        <v>14511</v>
      </c>
      <c r="Q465">
        <v>9809</v>
      </c>
      <c r="R465">
        <v>4702</v>
      </c>
      <c r="S465">
        <v>0</v>
      </c>
      <c r="T465">
        <v>0</v>
      </c>
      <c r="U465">
        <v>3.4</v>
      </c>
    </row>
    <row r="466" spans="1:21" x14ac:dyDescent="0.35">
      <c r="A466" t="s">
        <v>416</v>
      </c>
      <c r="B466" t="s">
        <v>35</v>
      </c>
      <c r="C466" s="32">
        <v>45160</v>
      </c>
      <c r="D466" t="s">
        <v>93</v>
      </c>
      <c r="E466" t="s">
        <v>54</v>
      </c>
      <c r="F466" t="s">
        <v>151</v>
      </c>
      <c r="G466" t="s">
        <v>57</v>
      </c>
      <c r="H466" t="s">
        <v>66</v>
      </c>
      <c r="I466" t="s">
        <v>71</v>
      </c>
      <c r="J466" t="s">
        <v>99</v>
      </c>
      <c r="K466">
        <v>11</v>
      </c>
      <c r="L466">
        <v>2592</v>
      </c>
      <c r="M466">
        <v>28512</v>
      </c>
      <c r="N466">
        <v>0</v>
      </c>
      <c r="O466">
        <v>0</v>
      </c>
      <c r="P466">
        <v>28512</v>
      </c>
      <c r="Q466">
        <v>16624</v>
      </c>
      <c r="R466">
        <v>11888</v>
      </c>
      <c r="S466">
        <v>1</v>
      </c>
      <c r="T466">
        <v>2592</v>
      </c>
      <c r="U466">
        <v>2.5</v>
      </c>
    </row>
    <row r="467" spans="1:21" x14ac:dyDescent="0.35">
      <c r="A467" t="s">
        <v>418</v>
      </c>
      <c r="B467" t="s">
        <v>35</v>
      </c>
      <c r="C467" s="32">
        <v>45160</v>
      </c>
      <c r="D467" t="s">
        <v>101</v>
      </c>
      <c r="E467" t="s">
        <v>59</v>
      </c>
      <c r="F467" t="s">
        <v>94</v>
      </c>
      <c r="G467" t="s">
        <v>51</v>
      </c>
      <c r="H467" t="s">
        <v>68</v>
      </c>
      <c r="I467" t="s">
        <v>71</v>
      </c>
      <c r="J467" t="s">
        <v>99</v>
      </c>
      <c r="K467">
        <v>12</v>
      </c>
      <c r="L467">
        <v>3226</v>
      </c>
      <c r="M467">
        <v>38712</v>
      </c>
      <c r="N467">
        <v>40</v>
      </c>
      <c r="O467">
        <v>15485</v>
      </c>
      <c r="P467">
        <v>23227</v>
      </c>
      <c r="Q467">
        <v>12591</v>
      </c>
      <c r="R467">
        <v>10636</v>
      </c>
      <c r="S467">
        <v>3</v>
      </c>
      <c r="T467">
        <v>5807</v>
      </c>
      <c r="U467">
        <v>5</v>
      </c>
    </row>
    <row r="468" spans="1:21" x14ac:dyDescent="0.35">
      <c r="A468" t="s">
        <v>420</v>
      </c>
      <c r="B468" t="s">
        <v>35</v>
      </c>
      <c r="C468" s="32">
        <v>45161</v>
      </c>
      <c r="D468" t="s">
        <v>115</v>
      </c>
      <c r="E468" t="s">
        <v>48</v>
      </c>
      <c r="F468" t="s">
        <v>151</v>
      </c>
      <c r="G468" t="s">
        <v>49</v>
      </c>
      <c r="H468" t="s">
        <v>64</v>
      </c>
      <c r="I468" t="s">
        <v>71</v>
      </c>
      <c r="J468" t="s">
        <v>99</v>
      </c>
      <c r="K468">
        <v>6</v>
      </c>
      <c r="L468">
        <v>2602</v>
      </c>
      <c r="M468">
        <v>15612</v>
      </c>
      <c r="N468">
        <v>10</v>
      </c>
      <c r="O468">
        <v>1561</v>
      </c>
      <c r="P468">
        <v>14051</v>
      </c>
      <c r="Q468">
        <v>6387</v>
      </c>
      <c r="R468">
        <v>7664</v>
      </c>
      <c r="S468">
        <v>1</v>
      </c>
      <c r="T468">
        <v>2342</v>
      </c>
      <c r="U468">
        <v>3.4</v>
      </c>
    </row>
    <row r="469" spans="1:21" x14ac:dyDescent="0.35">
      <c r="A469" t="s">
        <v>424</v>
      </c>
      <c r="B469" t="s">
        <v>35</v>
      </c>
      <c r="C469" s="32">
        <v>45163</v>
      </c>
      <c r="D469" t="s">
        <v>122</v>
      </c>
      <c r="E469" t="s">
        <v>50</v>
      </c>
      <c r="F469" t="s">
        <v>134</v>
      </c>
      <c r="G469" t="s">
        <v>55</v>
      </c>
      <c r="H469" t="s">
        <v>64</v>
      </c>
      <c r="I469" t="s">
        <v>71</v>
      </c>
      <c r="J469" t="s">
        <v>95</v>
      </c>
      <c r="K469">
        <v>9</v>
      </c>
      <c r="L469">
        <v>1046</v>
      </c>
      <c r="M469">
        <v>9414</v>
      </c>
      <c r="N469">
        <v>40</v>
      </c>
      <c r="O469">
        <v>3766</v>
      </c>
      <c r="P469">
        <v>5648</v>
      </c>
      <c r="Q469">
        <v>3084</v>
      </c>
      <c r="R469">
        <v>2564</v>
      </c>
      <c r="S469">
        <v>1</v>
      </c>
      <c r="T469">
        <v>628</v>
      </c>
      <c r="U469">
        <v>3</v>
      </c>
    </row>
    <row r="470" spans="1:21" x14ac:dyDescent="0.35">
      <c r="A470" t="s">
        <v>429</v>
      </c>
      <c r="B470" t="s">
        <v>35</v>
      </c>
      <c r="C470" s="32">
        <v>45168</v>
      </c>
      <c r="D470" t="s">
        <v>105</v>
      </c>
      <c r="E470" t="s">
        <v>59</v>
      </c>
      <c r="F470" t="s">
        <v>134</v>
      </c>
      <c r="G470" t="s">
        <v>57</v>
      </c>
      <c r="H470" t="s">
        <v>68</v>
      </c>
      <c r="I470" t="s">
        <v>71</v>
      </c>
      <c r="J470" t="s">
        <v>95</v>
      </c>
      <c r="K470">
        <v>11</v>
      </c>
      <c r="L470">
        <v>596</v>
      </c>
      <c r="M470">
        <v>6556</v>
      </c>
      <c r="N470">
        <v>40</v>
      </c>
      <c r="O470">
        <v>2622</v>
      </c>
      <c r="P470">
        <v>3934</v>
      </c>
      <c r="Q470">
        <v>2665</v>
      </c>
      <c r="R470">
        <v>1269</v>
      </c>
      <c r="S470">
        <v>1</v>
      </c>
      <c r="T470">
        <v>358</v>
      </c>
      <c r="U470">
        <v>4.0999999999999996</v>
      </c>
    </row>
    <row r="471" spans="1:21" x14ac:dyDescent="0.35">
      <c r="A471" t="s">
        <v>436</v>
      </c>
      <c r="B471" t="s">
        <v>36</v>
      </c>
      <c r="C471" s="32">
        <v>45172</v>
      </c>
      <c r="D471" t="s">
        <v>115</v>
      </c>
      <c r="E471" t="s">
        <v>48</v>
      </c>
      <c r="F471" t="s">
        <v>124</v>
      </c>
      <c r="G471" t="s">
        <v>53</v>
      </c>
      <c r="H471" t="s">
        <v>66</v>
      </c>
      <c r="I471" t="s">
        <v>71</v>
      </c>
      <c r="J471" t="s">
        <v>99</v>
      </c>
      <c r="K471">
        <v>7</v>
      </c>
      <c r="L471">
        <v>1570</v>
      </c>
      <c r="M471">
        <v>10990</v>
      </c>
      <c r="N471">
        <v>0</v>
      </c>
      <c r="O471">
        <v>0</v>
      </c>
      <c r="P471">
        <v>10990</v>
      </c>
      <c r="Q471">
        <v>5822</v>
      </c>
      <c r="R471">
        <v>5168</v>
      </c>
      <c r="S471">
        <v>0</v>
      </c>
      <c r="T471">
        <v>0</v>
      </c>
      <c r="U471">
        <v>2.6</v>
      </c>
    </row>
    <row r="472" spans="1:21" x14ac:dyDescent="0.35">
      <c r="A472" t="s">
        <v>439</v>
      </c>
      <c r="B472" t="s">
        <v>36</v>
      </c>
      <c r="C472" s="32">
        <v>45175</v>
      </c>
      <c r="D472" t="s">
        <v>115</v>
      </c>
      <c r="E472" t="s">
        <v>56</v>
      </c>
      <c r="F472" t="s">
        <v>124</v>
      </c>
      <c r="G472" t="s">
        <v>57</v>
      </c>
      <c r="H472" t="s">
        <v>68</v>
      </c>
      <c r="I472" t="s">
        <v>71</v>
      </c>
      <c r="J472" t="s">
        <v>103</v>
      </c>
      <c r="K472">
        <v>8</v>
      </c>
      <c r="L472">
        <v>1191</v>
      </c>
      <c r="M472">
        <v>9528</v>
      </c>
      <c r="N472">
        <v>10</v>
      </c>
      <c r="O472">
        <v>953</v>
      </c>
      <c r="P472">
        <v>8575</v>
      </c>
      <c r="Q472">
        <v>5024</v>
      </c>
      <c r="R472">
        <v>3551</v>
      </c>
      <c r="S472">
        <v>1</v>
      </c>
      <c r="T472">
        <v>1072</v>
      </c>
      <c r="U472">
        <v>4.3</v>
      </c>
    </row>
    <row r="473" spans="1:21" x14ac:dyDescent="0.35">
      <c r="A473" t="s">
        <v>448</v>
      </c>
      <c r="B473" t="s">
        <v>36</v>
      </c>
      <c r="C473" s="32">
        <v>45179</v>
      </c>
      <c r="D473" t="s">
        <v>105</v>
      </c>
      <c r="E473" t="s">
        <v>52</v>
      </c>
      <c r="F473" t="s">
        <v>116</v>
      </c>
      <c r="G473" t="s">
        <v>49</v>
      </c>
      <c r="H473" t="s">
        <v>68</v>
      </c>
      <c r="I473" t="s">
        <v>71</v>
      </c>
      <c r="J473" t="s">
        <v>95</v>
      </c>
      <c r="K473">
        <v>4</v>
      </c>
      <c r="L473">
        <v>867</v>
      </c>
      <c r="M473">
        <v>3468</v>
      </c>
      <c r="N473">
        <v>30</v>
      </c>
      <c r="O473">
        <v>1040</v>
      </c>
      <c r="P473">
        <v>2428</v>
      </c>
      <c r="Q473">
        <v>1223</v>
      </c>
      <c r="R473">
        <v>1205</v>
      </c>
      <c r="S473">
        <v>0</v>
      </c>
      <c r="T473">
        <v>0</v>
      </c>
      <c r="U473">
        <v>4.3</v>
      </c>
    </row>
    <row r="474" spans="1:21" x14ac:dyDescent="0.35">
      <c r="A474" t="s">
        <v>453</v>
      </c>
      <c r="B474" t="s">
        <v>36</v>
      </c>
      <c r="C474" s="32">
        <v>45181</v>
      </c>
      <c r="D474" t="s">
        <v>97</v>
      </c>
      <c r="E474" t="s">
        <v>52</v>
      </c>
      <c r="F474" t="s">
        <v>134</v>
      </c>
      <c r="G474" t="s">
        <v>51</v>
      </c>
      <c r="H474" t="s">
        <v>68</v>
      </c>
      <c r="I474" t="s">
        <v>71</v>
      </c>
      <c r="J474" t="s">
        <v>95</v>
      </c>
      <c r="K474">
        <v>6</v>
      </c>
      <c r="L474">
        <v>3605</v>
      </c>
      <c r="M474">
        <v>21630</v>
      </c>
      <c r="N474">
        <v>20</v>
      </c>
      <c r="O474">
        <v>4326</v>
      </c>
      <c r="P474">
        <v>17304</v>
      </c>
      <c r="Q474">
        <v>8481</v>
      </c>
      <c r="R474">
        <v>8823</v>
      </c>
      <c r="S474">
        <v>1</v>
      </c>
      <c r="T474">
        <v>2884</v>
      </c>
      <c r="U474">
        <v>4.8</v>
      </c>
    </row>
    <row r="475" spans="1:21" x14ac:dyDescent="0.35">
      <c r="A475" t="s">
        <v>456</v>
      </c>
      <c r="B475" t="s">
        <v>36</v>
      </c>
      <c r="C475" s="32">
        <v>45184</v>
      </c>
      <c r="D475" t="s">
        <v>93</v>
      </c>
      <c r="E475" t="s">
        <v>56</v>
      </c>
      <c r="F475" t="s">
        <v>151</v>
      </c>
      <c r="G475" t="s">
        <v>51</v>
      </c>
      <c r="H475" t="s">
        <v>64</v>
      </c>
      <c r="I475" t="s">
        <v>71</v>
      </c>
      <c r="J475" t="s">
        <v>95</v>
      </c>
      <c r="K475">
        <v>7</v>
      </c>
      <c r="L475">
        <v>623</v>
      </c>
      <c r="M475">
        <v>4361</v>
      </c>
      <c r="N475">
        <v>40</v>
      </c>
      <c r="O475">
        <v>1744</v>
      </c>
      <c r="P475">
        <v>2617</v>
      </c>
      <c r="Q475">
        <v>1744</v>
      </c>
      <c r="R475">
        <v>873</v>
      </c>
      <c r="S475">
        <v>1</v>
      </c>
      <c r="T475">
        <v>374</v>
      </c>
      <c r="U475">
        <v>3.3</v>
      </c>
    </row>
    <row r="476" spans="1:21" x14ac:dyDescent="0.35">
      <c r="A476" t="s">
        <v>470</v>
      </c>
      <c r="B476" t="s">
        <v>36</v>
      </c>
      <c r="C476" s="32">
        <v>45194</v>
      </c>
      <c r="D476" t="s">
        <v>120</v>
      </c>
      <c r="E476" t="s">
        <v>58</v>
      </c>
      <c r="F476" t="s">
        <v>108</v>
      </c>
      <c r="G476" t="s">
        <v>57</v>
      </c>
      <c r="H476" t="s">
        <v>68</v>
      </c>
      <c r="I476" t="s">
        <v>71</v>
      </c>
      <c r="J476" t="s">
        <v>103</v>
      </c>
      <c r="K476">
        <v>3</v>
      </c>
      <c r="L476">
        <v>3566</v>
      </c>
      <c r="M476">
        <v>10698</v>
      </c>
      <c r="N476">
        <v>0</v>
      </c>
      <c r="O476">
        <v>0</v>
      </c>
      <c r="P476">
        <v>10698</v>
      </c>
      <c r="Q476">
        <v>5821</v>
      </c>
      <c r="R476">
        <v>4877</v>
      </c>
      <c r="S476">
        <v>0</v>
      </c>
      <c r="T476">
        <v>0</v>
      </c>
      <c r="U476">
        <v>3.1</v>
      </c>
    </row>
    <row r="477" spans="1:21" x14ac:dyDescent="0.35">
      <c r="A477" t="s">
        <v>473</v>
      </c>
      <c r="B477" t="s">
        <v>36</v>
      </c>
      <c r="C477" s="32">
        <v>45196</v>
      </c>
      <c r="D477" t="s">
        <v>115</v>
      </c>
      <c r="E477" t="s">
        <v>50</v>
      </c>
      <c r="F477" t="s">
        <v>94</v>
      </c>
      <c r="G477" t="s">
        <v>51</v>
      </c>
      <c r="H477" t="s">
        <v>68</v>
      </c>
      <c r="I477" t="s">
        <v>71</v>
      </c>
      <c r="J477" t="s">
        <v>99</v>
      </c>
      <c r="K477">
        <v>9</v>
      </c>
      <c r="L477">
        <v>1964</v>
      </c>
      <c r="M477">
        <v>17676</v>
      </c>
      <c r="N477">
        <v>20</v>
      </c>
      <c r="O477">
        <v>3535</v>
      </c>
      <c r="P477">
        <v>14141</v>
      </c>
      <c r="Q477">
        <v>8520</v>
      </c>
      <c r="R477">
        <v>5621</v>
      </c>
      <c r="S477">
        <v>0</v>
      </c>
      <c r="T477">
        <v>0</v>
      </c>
      <c r="U477">
        <v>4.9000000000000004</v>
      </c>
    </row>
    <row r="478" spans="1:21" x14ac:dyDescent="0.35">
      <c r="A478" t="s">
        <v>481</v>
      </c>
      <c r="B478" t="s">
        <v>37</v>
      </c>
      <c r="C478" s="32">
        <v>45200</v>
      </c>
      <c r="D478" t="s">
        <v>120</v>
      </c>
      <c r="E478" t="s">
        <v>58</v>
      </c>
      <c r="F478" t="s">
        <v>151</v>
      </c>
      <c r="G478" t="s">
        <v>55</v>
      </c>
      <c r="H478" t="s">
        <v>68</v>
      </c>
      <c r="I478" t="s">
        <v>71</v>
      </c>
      <c r="J478" t="s">
        <v>99</v>
      </c>
      <c r="K478">
        <v>10</v>
      </c>
      <c r="L478">
        <v>3748</v>
      </c>
      <c r="M478">
        <v>37480</v>
      </c>
      <c r="N478">
        <v>30</v>
      </c>
      <c r="O478">
        <v>11244</v>
      </c>
      <c r="P478">
        <v>26236</v>
      </c>
      <c r="Q478">
        <v>14121</v>
      </c>
      <c r="R478">
        <v>12115</v>
      </c>
      <c r="S478">
        <v>1</v>
      </c>
      <c r="T478">
        <v>2624</v>
      </c>
      <c r="U478">
        <v>3.2</v>
      </c>
    </row>
    <row r="479" spans="1:21" x14ac:dyDescent="0.35">
      <c r="A479" t="s">
        <v>488</v>
      </c>
      <c r="B479" t="s">
        <v>37</v>
      </c>
      <c r="C479" s="32">
        <v>45205</v>
      </c>
      <c r="D479" t="s">
        <v>142</v>
      </c>
      <c r="E479" t="s">
        <v>56</v>
      </c>
      <c r="F479" t="s">
        <v>108</v>
      </c>
      <c r="G479" t="s">
        <v>57</v>
      </c>
      <c r="H479" t="s">
        <v>66</v>
      </c>
      <c r="I479" t="s">
        <v>71</v>
      </c>
      <c r="J479" t="s">
        <v>95</v>
      </c>
      <c r="K479">
        <v>11</v>
      </c>
      <c r="L479">
        <v>4139</v>
      </c>
      <c r="M479">
        <v>45529</v>
      </c>
      <c r="N479">
        <v>20</v>
      </c>
      <c r="O479">
        <v>9106</v>
      </c>
      <c r="P479">
        <v>36423</v>
      </c>
      <c r="Q479">
        <v>24875</v>
      </c>
      <c r="R479">
        <v>11548</v>
      </c>
      <c r="S479">
        <v>0</v>
      </c>
      <c r="T479">
        <v>0</v>
      </c>
      <c r="U479">
        <v>4.8</v>
      </c>
    </row>
    <row r="480" spans="1:21" x14ac:dyDescent="0.35">
      <c r="A480" t="s">
        <v>493</v>
      </c>
      <c r="B480" t="s">
        <v>37</v>
      </c>
      <c r="C480" s="32">
        <v>45207</v>
      </c>
      <c r="D480" t="s">
        <v>93</v>
      </c>
      <c r="E480" t="s">
        <v>56</v>
      </c>
      <c r="F480" t="s">
        <v>94</v>
      </c>
      <c r="G480" t="s">
        <v>55</v>
      </c>
      <c r="H480" t="s">
        <v>66</v>
      </c>
      <c r="I480" t="s">
        <v>71</v>
      </c>
      <c r="J480" t="s">
        <v>99</v>
      </c>
      <c r="K480">
        <v>8</v>
      </c>
      <c r="L480">
        <v>2675</v>
      </c>
      <c r="M480">
        <v>21400</v>
      </c>
      <c r="N480">
        <v>30</v>
      </c>
      <c r="O480">
        <v>6420</v>
      </c>
      <c r="P480">
        <v>14980</v>
      </c>
      <c r="Q480">
        <v>7112</v>
      </c>
      <c r="R480">
        <v>7868</v>
      </c>
      <c r="S480">
        <v>2</v>
      </c>
      <c r="T480">
        <v>3745</v>
      </c>
      <c r="U480">
        <v>2.8</v>
      </c>
    </row>
    <row r="481" spans="1:21" x14ac:dyDescent="0.35">
      <c r="A481" t="s">
        <v>494</v>
      </c>
      <c r="B481" t="s">
        <v>37</v>
      </c>
      <c r="C481" s="32">
        <v>45207</v>
      </c>
      <c r="D481" t="s">
        <v>113</v>
      </c>
      <c r="E481" t="s">
        <v>54</v>
      </c>
      <c r="F481" t="s">
        <v>106</v>
      </c>
      <c r="G481" t="s">
        <v>53</v>
      </c>
      <c r="H481" t="s">
        <v>68</v>
      </c>
      <c r="I481" t="s">
        <v>71</v>
      </c>
      <c r="J481" t="s">
        <v>99</v>
      </c>
      <c r="K481">
        <v>6</v>
      </c>
      <c r="L481">
        <v>1163</v>
      </c>
      <c r="M481">
        <v>6978</v>
      </c>
      <c r="N481">
        <v>30</v>
      </c>
      <c r="O481">
        <v>2093</v>
      </c>
      <c r="P481">
        <v>4885</v>
      </c>
      <c r="Q481">
        <v>2455</v>
      </c>
      <c r="R481">
        <v>2430</v>
      </c>
      <c r="S481">
        <v>1</v>
      </c>
      <c r="T481">
        <v>814</v>
      </c>
      <c r="U481">
        <v>3.4</v>
      </c>
    </row>
    <row r="482" spans="1:21" x14ac:dyDescent="0.35">
      <c r="A482" t="s">
        <v>499</v>
      </c>
      <c r="B482" t="s">
        <v>37</v>
      </c>
      <c r="C482" s="32">
        <v>45209</v>
      </c>
      <c r="D482" t="s">
        <v>101</v>
      </c>
      <c r="E482" t="s">
        <v>59</v>
      </c>
      <c r="F482" t="s">
        <v>151</v>
      </c>
      <c r="G482" t="s">
        <v>53</v>
      </c>
      <c r="H482" t="s">
        <v>64</v>
      </c>
      <c r="I482" t="s">
        <v>71</v>
      </c>
      <c r="J482" t="s">
        <v>99</v>
      </c>
      <c r="K482">
        <v>14</v>
      </c>
      <c r="L482">
        <v>1359</v>
      </c>
      <c r="M482">
        <v>19026</v>
      </c>
      <c r="N482">
        <v>25</v>
      </c>
      <c r="O482">
        <v>4756</v>
      </c>
      <c r="P482">
        <v>14270</v>
      </c>
      <c r="Q482">
        <v>9115</v>
      </c>
      <c r="R482">
        <v>5155</v>
      </c>
      <c r="S482">
        <v>1</v>
      </c>
      <c r="T482">
        <v>1019</v>
      </c>
      <c r="U482">
        <v>4.4000000000000004</v>
      </c>
    </row>
    <row r="483" spans="1:21" x14ac:dyDescent="0.35">
      <c r="A483" t="s">
        <v>509</v>
      </c>
      <c r="B483" t="s">
        <v>37</v>
      </c>
      <c r="C483" s="32">
        <v>45215</v>
      </c>
      <c r="D483" t="s">
        <v>97</v>
      </c>
      <c r="E483" t="s">
        <v>59</v>
      </c>
      <c r="F483" t="s">
        <v>98</v>
      </c>
      <c r="G483" t="s">
        <v>57</v>
      </c>
      <c r="H483" t="s">
        <v>64</v>
      </c>
      <c r="I483" t="s">
        <v>71</v>
      </c>
      <c r="J483" t="s">
        <v>99</v>
      </c>
      <c r="K483">
        <v>3</v>
      </c>
      <c r="L483">
        <v>4685</v>
      </c>
      <c r="M483">
        <v>14055</v>
      </c>
      <c r="N483">
        <v>5</v>
      </c>
      <c r="O483">
        <v>703</v>
      </c>
      <c r="P483">
        <v>13352</v>
      </c>
      <c r="Q483">
        <v>8943</v>
      </c>
      <c r="R483">
        <v>4409</v>
      </c>
      <c r="S483">
        <v>1</v>
      </c>
      <c r="T483">
        <v>4451</v>
      </c>
      <c r="U483">
        <v>3.2</v>
      </c>
    </row>
    <row r="484" spans="1:21" x14ac:dyDescent="0.35">
      <c r="A484" t="s">
        <v>513</v>
      </c>
      <c r="B484" t="s">
        <v>37</v>
      </c>
      <c r="C484" s="32">
        <v>45217</v>
      </c>
      <c r="D484" t="s">
        <v>93</v>
      </c>
      <c r="E484" t="s">
        <v>59</v>
      </c>
      <c r="F484" t="s">
        <v>98</v>
      </c>
      <c r="G484" t="s">
        <v>55</v>
      </c>
      <c r="H484" t="s">
        <v>64</v>
      </c>
      <c r="I484" t="s">
        <v>71</v>
      </c>
      <c r="J484" t="s">
        <v>95</v>
      </c>
      <c r="K484">
        <v>3</v>
      </c>
      <c r="L484">
        <v>3400</v>
      </c>
      <c r="M484">
        <v>10200</v>
      </c>
      <c r="N484">
        <v>50</v>
      </c>
      <c r="O484">
        <v>5100</v>
      </c>
      <c r="P484">
        <v>5100</v>
      </c>
      <c r="Q484">
        <v>2506</v>
      </c>
      <c r="R484">
        <v>2594</v>
      </c>
      <c r="S484">
        <v>1</v>
      </c>
      <c r="T484">
        <v>1700</v>
      </c>
      <c r="U484">
        <v>4.9000000000000004</v>
      </c>
    </row>
    <row r="485" spans="1:21" x14ac:dyDescent="0.35">
      <c r="A485" t="s">
        <v>528</v>
      </c>
      <c r="B485" t="s">
        <v>37</v>
      </c>
      <c r="C485" s="32">
        <v>45228</v>
      </c>
      <c r="D485" t="s">
        <v>105</v>
      </c>
      <c r="E485" t="s">
        <v>52</v>
      </c>
      <c r="F485" t="s">
        <v>102</v>
      </c>
      <c r="G485" t="s">
        <v>49</v>
      </c>
      <c r="H485" t="s">
        <v>68</v>
      </c>
      <c r="I485" t="s">
        <v>71</v>
      </c>
      <c r="J485" t="s">
        <v>99</v>
      </c>
      <c r="K485">
        <v>9</v>
      </c>
      <c r="L485">
        <v>3528</v>
      </c>
      <c r="M485">
        <v>31752</v>
      </c>
      <c r="N485">
        <v>40</v>
      </c>
      <c r="O485">
        <v>12701</v>
      </c>
      <c r="P485">
        <v>19051</v>
      </c>
      <c r="Q485">
        <v>11301</v>
      </c>
      <c r="R485">
        <v>7750</v>
      </c>
      <c r="S485">
        <v>0</v>
      </c>
      <c r="T485">
        <v>0</v>
      </c>
      <c r="U485">
        <v>3.7</v>
      </c>
    </row>
    <row r="486" spans="1:21" x14ac:dyDescent="0.35">
      <c r="A486" t="s">
        <v>529</v>
      </c>
      <c r="B486" t="s">
        <v>37</v>
      </c>
      <c r="C486" s="32">
        <v>45228</v>
      </c>
      <c r="D486" t="s">
        <v>122</v>
      </c>
      <c r="E486" t="s">
        <v>56</v>
      </c>
      <c r="F486" t="s">
        <v>108</v>
      </c>
      <c r="G486" t="s">
        <v>51</v>
      </c>
      <c r="H486" t="s">
        <v>68</v>
      </c>
      <c r="I486" t="s">
        <v>71</v>
      </c>
      <c r="J486" t="s">
        <v>103</v>
      </c>
      <c r="K486">
        <v>2</v>
      </c>
      <c r="L486">
        <v>2164</v>
      </c>
      <c r="M486">
        <v>4328</v>
      </c>
      <c r="N486">
        <v>50</v>
      </c>
      <c r="O486">
        <v>2164</v>
      </c>
      <c r="P486">
        <v>2164</v>
      </c>
      <c r="Q486">
        <v>980</v>
      </c>
      <c r="R486">
        <v>1184</v>
      </c>
      <c r="S486">
        <v>0</v>
      </c>
      <c r="T486">
        <v>0</v>
      </c>
      <c r="U486">
        <v>4.5999999999999996</v>
      </c>
    </row>
    <row r="487" spans="1:21" x14ac:dyDescent="0.35">
      <c r="A487" t="s">
        <v>532</v>
      </c>
      <c r="B487" t="s">
        <v>38</v>
      </c>
      <c r="C487" s="32">
        <v>45233</v>
      </c>
      <c r="D487" t="s">
        <v>93</v>
      </c>
      <c r="E487" t="s">
        <v>58</v>
      </c>
      <c r="F487" t="s">
        <v>102</v>
      </c>
      <c r="G487" t="s">
        <v>51</v>
      </c>
      <c r="H487" t="s">
        <v>64</v>
      </c>
      <c r="I487" t="s">
        <v>71</v>
      </c>
      <c r="J487" t="s">
        <v>95</v>
      </c>
      <c r="K487">
        <v>8</v>
      </c>
      <c r="L487">
        <v>1689</v>
      </c>
      <c r="M487">
        <v>13512</v>
      </c>
      <c r="N487">
        <v>20</v>
      </c>
      <c r="O487">
        <v>2702</v>
      </c>
      <c r="P487">
        <v>10810</v>
      </c>
      <c r="Q487">
        <v>6328</v>
      </c>
      <c r="R487">
        <v>4482</v>
      </c>
      <c r="S487">
        <v>1</v>
      </c>
      <c r="T487">
        <v>1351</v>
      </c>
      <c r="U487">
        <v>2.5</v>
      </c>
    </row>
    <row r="488" spans="1:21" x14ac:dyDescent="0.35">
      <c r="A488" t="s">
        <v>533</v>
      </c>
      <c r="B488" t="s">
        <v>38</v>
      </c>
      <c r="C488" s="32">
        <v>45234</v>
      </c>
      <c r="D488" t="s">
        <v>113</v>
      </c>
      <c r="E488" t="s">
        <v>52</v>
      </c>
      <c r="F488" t="s">
        <v>134</v>
      </c>
      <c r="G488" t="s">
        <v>51</v>
      </c>
      <c r="H488" t="s">
        <v>66</v>
      </c>
      <c r="I488" t="s">
        <v>71</v>
      </c>
      <c r="J488" t="s">
        <v>99</v>
      </c>
      <c r="K488">
        <v>3</v>
      </c>
      <c r="L488">
        <v>3703</v>
      </c>
      <c r="M488">
        <v>11109</v>
      </c>
      <c r="N488">
        <v>25</v>
      </c>
      <c r="O488">
        <v>2777</v>
      </c>
      <c r="P488">
        <v>8332</v>
      </c>
      <c r="Q488">
        <v>5671</v>
      </c>
      <c r="R488">
        <v>2661</v>
      </c>
      <c r="S488">
        <v>0</v>
      </c>
      <c r="T488">
        <v>0</v>
      </c>
      <c r="U488">
        <v>3.1</v>
      </c>
    </row>
    <row r="489" spans="1:21" x14ac:dyDescent="0.35">
      <c r="A489" t="s">
        <v>542</v>
      </c>
      <c r="B489" t="s">
        <v>38</v>
      </c>
      <c r="C489" s="32">
        <v>45238</v>
      </c>
      <c r="D489" t="s">
        <v>97</v>
      </c>
      <c r="E489" t="s">
        <v>59</v>
      </c>
      <c r="F489" t="s">
        <v>116</v>
      </c>
      <c r="G489" t="s">
        <v>55</v>
      </c>
      <c r="H489" t="s">
        <v>66</v>
      </c>
      <c r="I489" t="s">
        <v>71</v>
      </c>
      <c r="J489" t="s">
        <v>99</v>
      </c>
      <c r="K489">
        <v>12</v>
      </c>
      <c r="L489">
        <v>4828</v>
      </c>
      <c r="M489">
        <v>57936</v>
      </c>
      <c r="N489">
        <v>0</v>
      </c>
      <c r="O489">
        <v>0</v>
      </c>
      <c r="P489">
        <v>57936</v>
      </c>
      <c r="Q489">
        <v>39769</v>
      </c>
      <c r="R489">
        <v>18167</v>
      </c>
      <c r="S489">
        <v>1</v>
      </c>
      <c r="T489">
        <v>4828</v>
      </c>
      <c r="U489">
        <v>4.0999999999999996</v>
      </c>
    </row>
    <row r="490" spans="1:21" x14ac:dyDescent="0.35">
      <c r="A490" t="s">
        <v>543</v>
      </c>
      <c r="B490" t="s">
        <v>38</v>
      </c>
      <c r="C490" s="32">
        <v>45238</v>
      </c>
      <c r="D490" t="s">
        <v>93</v>
      </c>
      <c r="E490" t="s">
        <v>56</v>
      </c>
      <c r="F490" t="s">
        <v>116</v>
      </c>
      <c r="G490" t="s">
        <v>53</v>
      </c>
      <c r="H490" t="s">
        <v>68</v>
      </c>
      <c r="I490" t="s">
        <v>71</v>
      </c>
      <c r="J490" t="s">
        <v>103</v>
      </c>
      <c r="K490">
        <v>10</v>
      </c>
      <c r="L490">
        <v>3090</v>
      </c>
      <c r="M490">
        <v>30900</v>
      </c>
      <c r="N490">
        <v>50</v>
      </c>
      <c r="O490">
        <v>15450</v>
      </c>
      <c r="P490">
        <v>15450</v>
      </c>
      <c r="Q490">
        <v>9430</v>
      </c>
      <c r="R490">
        <v>6020</v>
      </c>
      <c r="S490">
        <v>2</v>
      </c>
      <c r="T490">
        <v>3090</v>
      </c>
      <c r="U490">
        <v>4.5</v>
      </c>
    </row>
    <row r="491" spans="1:21" x14ac:dyDescent="0.35">
      <c r="A491" t="s">
        <v>547</v>
      </c>
      <c r="B491" t="s">
        <v>38</v>
      </c>
      <c r="C491" s="32">
        <v>45242</v>
      </c>
      <c r="D491" t="s">
        <v>115</v>
      </c>
      <c r="E491" t="s">
        <v>50</v>
      </c>
      <c r="F491" t="s">
        <v>106</v>
      </c>
      <c r="G491" t="s">
        <v>51</v>
      </c>
      <c r="H491" t="s">
        <v>68</v>
      </c>
      <c r="I491" t="s">
        <v>71</v>
      </c>
      <c r="J491" t="s">
        <v>103</v>
      </c>
      <c r="K491">
        <v>6</v>
      </c>
      <c r="L491">
        <v>1191</v>
      </c>
      <c r="M491">
        <v>7146</v>
      </c>
      <c r="N491">
        <v>10</v>
      </c>
      <c r="O491">
        <v>715</v>
      </c>
      <c r="P491">
        <v>6431</v>
      </c>
      <c r="Q491">
        <v>3695</v>
      </c>
      <c r="R491">
        <v>2736</v>
      </c>
      <c r="S491">
        <v>1</v>
      </c>
      <c r="T491">
        <v>1072</v>
      </c>
      <c r="U491">
        <v>3.7</v>
      </c>
    </row>
    <row r="492" spans="1:21" x14ac:dyDescent="0.35">
      <c r="A492" t="s">
        <v>548</v>
      </c>
      <c r="B492" t="s">
        <v>38</v>
      </c>
      <c r="C492" s="32">
        <v>45245</v>
      </c>
      <c r="D492" t="s">
        <v>142</v>
      </c>
      <c r="E492" t="s">
        <v>48</v>
      </c>
      <c r="F492" t="s">
        <v>102</v>
      </c>
      <c r="G492" t="s">
        <v>49</v>
      </c>
      <c r="H492" t="s">
        <v>64</v>
      </c>
      <c r="I492" t="s">
        <v>71</v>
      </c>
      <c r="J492" t="s">
        <v>99</v>
      </c>
      <c r="K492">
        <v>9</v>
      </c>
      <c r="L492">
        <v>1796</v>
      </c>
      <c r="M492">
        <v>16164</v>
      </c>
      <c r="N492">
        <v>10</v>
      </c>
      <c r="O492">
        <v>1616</v>
      </c>
      <c r="P492">
        <v>14548</v>
      </c>
      <c r="Q492">
        <v>9977</v>
      </c>
      <c r="R492">
        <v>4571</v>
      </c>
      <c r="S492">
        <v>1</v>
      </c>
      <c r="T492">
        <v>1616</v>
      </c>
      <c r="U492">
        <v>3.9</v>
      </c>
    </row>
    <row r="493" spans="1:21" x14ac:dyDescent="0.35">
      <c r="A493" t="s">
        <v>561</v>
      </c>
      <c r="B493" t="s">
        <v>38</v>
      </c>
      <c r="C493" s="32">
        <v>45255</v>
      </c>
      <c r="D493" t="s">
        <v>142</v>
      </c>
      <c r="E493" t="s">
        <v>59</v>
      </c>
      <c r="F493" t="s">
        <v>124</v>
      </c>
      <c r="G493" t="s">
        <v>55</v>
      </c>
      <c r="H493" t="s">
        <v>66</v>
      </c>
      <c r="I493" t="s">
        <v>71</v>
      </c>
      <c r="J493" t="s">
        <v>99</v>
      </c>
      <c r="K493">
        <v>3</v>
      </c>
      <c r="L493">
        <v>4425</v>
      </c>
      <c r="M493">
        <v>13275</v>
      </c>
      <c r="N493">
        <v>50</v>
      </c>
      <c r="O493">
        <v>6638</v>
      </c>
      <c r="P493">
        <v>6637</v>
      </c>
      <c r="Q493">
        <v>4048</v>
      </c>
      <c r="R493">
        <v>2589</v>
      </c>
      <c r="S493">
        <v>0</v>
      </c>
      <c r="T493">
        <v>0</v>
      </c>
      <c r="U493">
        <v>4.4000000000000004</v>
      </c>
    </row>
    <row r="494" spans="1:21" x14ac:dyDescent="0.35">
      <c r="A494" t="s">
        <v>569</v>
      </c>
      <c r="B494" t="s">
        <v>39</v>
      </c>
      <c r="C494" s="32">
        <v>45261</v>
      </c>
      <c r="D494" t="s">
        <v>120</v>
      </c>
      <c r="E494" t="s">
        <v>56</v>
      </c>
      <c r="F494" t="s">
        <v>102</v>
      </c>
      <c r="G494" t="s">
        <v>55</v>
      </c>
      <c r="H494" t="s">
        <v>66</v>
      </c>
      <c r="I494" t="s">
        <v>71</v>
      </c>
      <c r="J494" t="s">
        <v>95</v>
      </c>
      <c r="K494">
        <v>12</v>
      </c>
      <c r="L494">
        <v>3022</v>
      </c>
      <c r="M494">
        <v>36264</v>
      </c>
      <c r="N494">
        <v>5</v>
      </c>
      <c r="O494">
        <v>1813</v>
      </c>
      <c r="P494">
        <v>34451</v>
      </c>
      <c r="Q494">
        <v>15821</v>
      </c>
      <c r="R494">
        <v>18630</v>
      </c>
      <c r="S494">
        <v>1</v>
      </c>
      <c r="T494">
        <v>2871</v>
      </c>
      <c r="U494">
        <v>3.7</v>
      </c>
    </row>
    <row r="495" spans="1:21" x14ac:dyDescent="0.35">
      <c r="A495" t="s">
        <v>574</v>
      </c>
      <c r="B495" t="s">
        <v>39</v>
      </c>
      <c r="C495" s="32">
        <v>45263</v>
      </c>
      <c r="D495" t="s">
        <v>113</v>
      </c>
      <c r="E495" t="s">
        <v>56</v>
      </c>
      <c r="F495" t="s">
        <v>94</v>
      </c>
      <c r="G495" t="s">
        <v>51</v>
      </c>
      <c r="H495" t="s">
        <v>66</v>
      </c>
      <c r="I495" t="s">
        <v>71</v>
      </c>
      <c r="J495" t="s">
        <v>95</v>
      </c>
      <c r="K495">
        <v>10</v>
      </c>
      <c r="L495">
        <v>4922</v>
      </c>
      <c r="M495">
        <v>49220</v>
      </c>
      <c r="N495">
        <v>30</v>
      </c>
      <c r="O495">
        <v>14766</v>
      </c>
      <c r="P495">
        <v>34454</v>
      </c>
      <c r="Q495">
        <v>23832</v>
      </c>
      <c r="R495">
        <v>10622</v>
      </c>
      <c r="S495">
        <v>1</v>
      </c>
      <c r="T495">
        <v>3445</v>
      </c>
      <c r="U495">
        <v>4.9000000000000004</v>
      </c>
    </row>
    <row r="496" spans="1:21" x14ac:dyDescent="0.35">
      <c r="A496" t="s">
        <v>582</v>
      </c>
      <c r="B496" t="s">
        <v>39</v>
      </c>
      <c r="C496" s="32">
        <v>45266</v>
      </c>
      <c r="D496" t="s">
        <v>142</v>
      </c>
      <c r="E496" t="s">
        <v>56</v>
      </c>
      <c r="F496" t="s">
        <v>116</v>
      </c>
      <c r="G496" t="s">
        <v>51</v>
      </c>
      <c r="H496" t="s">
        <v>66</v>
      </c>
      <c r="I496" t="s">
        <v>71</v>
      </c>
      <c r="J496" t="s">
        <v>95</v>
      </c>
      <c r="K496">
        <v>1</v>
      </c>
      <c r="L496">
        <v>3323</v>
      </c>
      <c r="M496">
        <v>3323</v>
      </c>
      <c r="N496">
        <v>10</v>
      </c>
      <c r="O496">
        <v>332</v>
      </c>
      <c r="P496">
        <v>2991</v>
      </c>
      <c r="Q496">
        <v>1724</v>
      </c>
      <c r="R496">
        <v>1267</v>
      </c>
      <c r="S496">
        <v>1</v>
      </c>
      <c r="T496">
        <v>2991</v>
      </c>
      <c r="U496">
        <v>4.5999999999999996</v>
      </c>
    </row>
    <row r="497" spans="1:21" x14ac:dyDescent="0.35">
      <c r="A497" t="s">
        <v>586</v>
      </c>
      <c r="B497" t="s">
        <v>39</v>
      </c>
      <c r="C497" s="32">
        <v>45272</v>
      </c>
      <c r="D497" t="s">
        <v>142</v>
      </c>
      <c r="E497" t="s">
        <v>56</v>
      </c>
      <c r="F497" t="s">
        <v>98</v>
      </c>
      <c r="G497" t="s">
        <v>51</v>
      </c>
      <c r="H497" t="s">
        <v>66</v>
      </c>
      <c r="I497" t="s">
        <v>71</v>
      </c>
      <c r="J497" t="s">
        <v>95</v>
      </c>
      <c r="K497">
        <v>1</v>
      </c>
      <c r="L497">
        <v>4335</v>
      </c>
      <c r="M497">
        <v>4335</v>
      </c>
      <c r="N497">
        <v>0</v>
      </c>
      <c r="O497">
        <v>0</v>
      </c>
      <c r="P497">
        <v>4335</v>
      </c>
      <c r="Q497">
        <v>2216</v>
      </c>
      <c r="R497">
        <v>2119</v>
      </c>
      <c r="S497">
        <v>1</v>
      </c>
      <c r="T497">
        <v>4335</v>
      </c>
      <c r="U497">
        <v>3.4</v>
      </c>
    </row>
    <row r="498" spans="1:21" x14ac:dyDescent="0.35">
      <c r="A498" t="s">
        <v>589</v>
      </c>
      <c r="B498" t="s">
        <v>39</v>
      </c>
      <c r="C498" s="32">
        <v>45273</v>
      </c>
      <c r="D498" t="s">
        <v>93</v>
      </c>
      <c r="E498" t="s">
        <v>56</v>
      </c>
      <c r="F498" t="s">
        <v>124</v>
      </c>
      <c r="G498" t="s">
        <v>57</v>
      </c>
      <c r="H498" t="s">
        <v>64</v>
      </c>
      <c r="I498" t="s">
        <v>71</v>
      </c>
      <c r="J498" t="s">
        <v>95</v>
      </c>
      <c r="K498">
        <v>14</v>
      </c>
      <c r="L498">
        <v>2566</v>
      </c>
      <c r="M498">
        <v>35924</v>
      </c>
      <c r="N498">
        <v>25</v>
      </c>
      <c r="O498">
        <v>8981</v>
      </c>
      <c r="P498">
        <v>26943</v>
      </c>
      <c r="Q498">
        <v>15441</v>
      </c>
      <c r="R498">
        <v>11502</v>
      </c>
      <c r="S498">
        <v>2</v>
      </c>
      <c r="T498">
        <v>3849</v>
      </c>
      <c r="U498">
        <v>3.7</v>
      </c>
    </row>
    <row r="499" spans="1:21" x14ac:dyDescent="0.35">
      <c r="A499" t="s">
        <v>596</v>
      </c>
      <c r="B499" t="s">
        <v>39</v>
      </c>
      <c r="C499" s="32">
        <v>45278</v>
      </c>
      <c r="D499" t="s">
        <v>122</v>
      </c>
      <c r="E499" t="s">
        <v>54</v>
      </c>
      <c r="F499" t="s">
        <v>111</v>
      </c>
      <c r="G499" t="s">
        <v>51</v>
      </c>
      <c r="H499" t="s">
        <v>66</v>
      </c>
      <c r="I499" t="s">
        <v>71</v>
      </c>
      <c r="J499" t="s">
        <v>103</v>
      </c>
      <c r="K499">
        <v>11</v>
      </c>
      <c r="L499">
        <v>1814</v>
      </c>
      <c r="M499">
        <v>19954</v>
      </c>
      <c r="N499">
        <v>5</v>
      </c>
      <c r="O499">
        <v>998</v>
      </c>
      <c r="P499">
        <v>18956</v>
      </c>
      <c r="Q499">
        <v>12136</v>
      </c>
      <c r="R499">
        <v>6820</v>
      </c>
      <c r="S499">
        <v>2</v>
      </c>
      <c r="T499">
        <v>3447</v>
      </c>
      <c r="U499">
        <v>3.7</v>
      </c>
    </row>
    <row r="500" spans="1:21" x14ac:dyDescent="0.35">
      <c r="A500" t="s">
        <v>609</v>
      </c>
      <c r="B500" t="s">
        <v>39</v>
      </c>
      <c r="C500" s="32">
        <v>45285</v>
      </c>
      <c r="D500" t="s">
        <v>115</v>
      </c>
      <c r="E500" t="s">
        <v>56</v>
      </c>
      <c r="F500" t="s">
        <v>102</v>
      </c>
      <c r="G500" t="s">
        <v>53</v>
      </c>
      <c r="H500" t="s">
        <v>66</v>
      </c>
      <c r="I500" t="s">
        <v>71</v>
      </c>
      <c r="J500" t="s">
        <v>99</v>
      </c>
      <c r="K500">
        <v>12</v>
      </c>
      <c r="L500">
        <v>3762</v>
      </c>
      <c r="M500">
        <v>45144</v>
      </c>
      <c r="N500">
        <v>50</v>
      </c>
      <c r="O500">
        <v>22572</v>
      </c>
      <c r="P500">
        <v>22572</v>
      </c>
      <c r="Q500">
        <v>13727</v>
      </c>
      <c r="R500">
        <v>8845</v>
      </c>
      <c r="S500">
        <v>1</v>
      </c>
      <c r="T500">
        <v>1881</v>
      </c>
      <c r="U500">
        <v>3</v>
      </c>
    </row>
    <row r="501" spans="1:21" x14ac:dyDescent="0.35">
      <c r="A501" t="s">
        <v>611</v>
      </c>
      <c r="B501" t="s">
        <v>39</v>
      </c>
      <c r="C501" s="32">
        <v>45287</v>
      </c>
      <c r="D501" t="s">
        <v>142</v>
      </c>
      <c r="E501" t="s">
        <v>52</v>
      </c>
      <c r="F501" t="s">
        <v>108</v>
      </c>
      <c r="G501" t="s">
        <v>53</v>
      </c>
      <c r="H501" t="s">
        <v>68</v>
      </c>
      <c r="I501" t="s">
        <v>71</v>
      </c>
      <c r="J501" t="s">
        <v>99</v>
      </c>
      <c r="K501">
        <v>11</v>
      </c>
      <c r="L501">
        <v>4637</v>
      </c>
      <c r="M501">
        <v>51007</v>
      </c>
      <c r="N501">
        <v>0</v>
      </c>
      <c r="O501">
        <v>0</v>
      </c>
      <c r="P501">
        <v>51007</v>
      </c>
      <c r="Q501">
        <v>26038</v>
      </c>
      <c r="R501">
        <v>24969</v>
      </c>
      <c r="S501">
        <v>1</v>
      </c>
      <c r="T501">
        <v>4637</v>
      </c>
      <c r="U501">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29"/>
  <sheetViews>
    <sheetView showGridLines="0" topLeftCell="A2" zoomScale="78" zoomScaleNormal="78" workbookViewId="0">
      <selection activeCell="M10" sqref="M10"/>
    </sheetView>
  </sheetViews>
  <sheetFormatPr defaultColWidth="8.6328125" defaultRowHeight="14.5" x14ac:dyDescent="0.35"/>
  <cols>
    <col min="1" max="2" width="16.08984375" bestFit="1" customWidth="1"/>
    <col min="3" max="3" width="12.90625" bestFit="1" customWidth="1"/>
    <col min="4" max="4" width="6.81640625" bestFit="1" customWidth="1"/>
    <col min="5" max="5" width="7.81640625" bestFit="1" customWidth="1"/>
    <col min="6" max="6" width="13.6328125" bestFit="1" customWidth="1"/>
    <col min="7" max="7" width="13" bestFit="1" customWidth="1"/>
    <col min="8" max="8" width="11.54296875" bestFit="1" customWidth="1"/>
    <col min="9" max="9" width="13.6328125" bestFit="1" customWidth="1"/>
    <col min="10" max="10" width="6.7265625" bestFit="1" customWidth="1"/>
    <col min="11" max="11" width="10.7265625" bestFit="1" customWidth="1"/>
    <col min="12" max="12" width="13.6328125" bestFit="1" customWidth="1"/>
    <col min="13" max="13" width="13.26953125" bestFit="1" customWidth="1"/>
    <col min="14" max="14" width="18" bestFit="1" customWidth="1"/>
    <col min="15" max="15" width="16.7265625" bestFit="1" customWidth="1"/>
    <col min="16" max="16" width="13.26953125" customWidth="1"/>
    <col min="17" max="17" width="15.6328125" customWidth="1"/>
  </cols>
  <sheetData>
    <row r="2" spans="2:15" ht="33.5" x14ac:dyDescent="0.75">
      <c r="B2" s="93" t="s">
        <v>627</v>
      </c>
      <c r="C2" s="93"/>
      <c r="D2" s="93"/>
      <c r="E2" s="93"/>
      <c r="F2" s="93"/>
      <c r="G2" s="93"/>
      <c r="H2" s="93"/>
      <c r="I2" s="93"/>
      <c r="J2" s="93"/>
      <c r="K2" s="93"/>
      <c r="L2" s="93"/>
      <c r="M2" s="93"/>
      <c r="N2" s="93"/>
      <c r="O2" s="93"/>
    </row>
    <row r="3" spans="2:15" x14ac:dyDescent="0.35">
      <c r="B3" s="31"/>
      <c r="C3" s="31"/>
      <c r="D3" s="31"/>
      <c r="E3" s="31"/>
      <c r="F3" s="31"/>
      <c r="G3" s="31"/>
      <c r="H3" s="31"/>
      <c r="I3" s="31"/>
      <c r="J3" s="31"/>
      <c r="K3" s="31"/>
      <c r="L3" s="31"/>
      <c r="M3" s="31"/>
      <c r="N3" s="31"/>
      <c r="O3" s="31"/>
    </row>
    <row r="4" spans="2:15" x14ac:dyDescent="0.35">
      <c r="B4" s="36" t="s">
        <v>628</v>
      </c>
      <c r="C4" s="36" t="s">
        <v>616</v>
      </c>
      <c r="D4" s="31"/>
      <c r="E4" s="39" t="s">
        <v>43</v>
      </c>
      <c r="F4" s="39" t="s">
        <v>616</v>
      </c>
      <c r="G4" s="31"/>
      <c r="H4" s="42" t="s">
        <v>629</v>
      </c>
      <c r="I4" s="42" t="s">
        <v>616</v>
      </c>
      <c r="J4" s="31"/>
      <c r="K4" s="45" t="s">
        <v>630</v>
      </c>
      <c r="L4" s="45" t="s">
        <v>616</v>
      </c>
      <c r="M4" s="31"/>
      <c r="N4" s="33" t="s">
        <v>63</v>
      </c>
      <c r="O4" s="33" t="s">
        <v>617</v>
      </c>
    </row>
    <row r="5" spans="2:15" x14ac:dyDescent="0.35">
      <c r="B5" s="37" t="s">
        <v>28</v>
      </c>
      <c r="C5" s="38">
        <v>235262</v>
      </c>
      <c r="D5" s="31"/>
      <c r="E5" s="40" t="s">
        <v>54</v>
      </c>
      <c r="F5" s="41">
        <v>676725</v>
      </c>
      <c r="G5" s="31"/>
      <c r="H5" s="43" t="s">
        <v>49</v>
      </c>
      <c r="I5" s="44">
        <v>1020753</v>
      </c>
      <c r="J5" s="31"/>
      <c r="K5" s="46" t="s">
        <v>111</v>
      </c>
      <c r="L5" s="47">
        <v>581812</v>
      </c>
      <c r="M5" s="31"/>
      <c r="N5" s="34" t="s">
        <v>65</v>
      </c>
      <c r="O5" s="35">
        <v>8266.9230769230762</v>
      </c>
    </row>
    <row r="6" spans="2:15" x14ac:dyDescent="0.35">
      <c r="B6" s="37" t="s">
        <v>29</v>
      </c>
      <c r="C6" s="38">
        <v>432204</v>
      </c>
      <c r="D6" s="31"/>
      <c r="E6" s="40" t="s">
        <v>50</v>
      </c>
      <c r="F6" s="41">
        <v>745159</v>
      </c>
      <c r="G6" s="31"/>
      <c r="H6" s="43" t="s">
        <v>51</v>
      </c>
      <c r="I6" s="44">
        <v>1010751</v>
      </c>
      <c r="J6" s="31"/>
      <c r="K6" s="46" t="s">
        <v>106</v>
      </c>
      <c r="L6" s="47">
        <v>387055</v>
      </c>
      <c r="M6" s="31"/>
      <c r="N6" s="34" t="s">
        <v>69</v>
      </c>
      <c r="O6" s="35">
        <v>8456.7195121951227</v>
      </c>
    </row>
    <row r="7" spans="2:15" x14ac:dyDescent="0.35">
      <c r="B7" s="37" t="s">
        <v>30</v>
      </c>
      <c r="C7" s="38">
        <v>279518</v>
      </c>
      <c r="D7" s="31"/>
      <c r="E7" s="40" t="s">
        <v>59</v>
      </c>
      <c r="F7" s="41">
        <v>541041</v>
      </c>
      <c r="G7" s="31"/>
      <c r="H7" s="43" t="s">
        <v>53</v>
      </c>
      <c r="I7" s="44">
        <v>827285</v>
      </c>
      <c r="J7" s="31"/>
      <c r="K7" s="46" t="s">
        <v>102</v>
      </c>
      <c r="L7" s="47">
        <v>514945</v>
      </c>
      <c r="M7" s="31"/>
      <c r="N7" s="34" t="s">
        <v>70</v>
      </c>
      <c r="O7" s="35">
        <v>10341.119047619048</v>
      </c>
    </row>
    <row r="8" spans="2:15" x14ac:dyDescent="0.35">
      <c r="B8" s="37" t="s">
        <v>31</v>
      </c>
      <c r="C8" s="38">
        <v>387890</v>
      </c>
      <c r="D8" s="31"/>
      <c r="E8" s="40" t="s">
        <v>52</v>
      </c>
      <c r="F8" s="41">
        <v>726779</v>
      </c>
      <c r="G8" s="31"/>
      <c r="H8" s="43" t="s">
        <v>55</v>
      </c>
      <c r="I8" s="44">
        <v>1009056</v>
      </c>
      <c r="J8" s="31"/>
      <c r="K8" s="46" t="s">
        <v>108</v>
      </c>
      <c r="L8" s="47">
        <v>582623</v>
      </c>
      <c r="M8" s="31"/>
      <c r="N8" s="34" t="s">
        <v>67</v>
      </c>
      <c r="O8" s="35">
        <v>9962.942622950819</v>
      </c>
    </row>
    <row r="9" spans="2:15" x14ac:dyDescent="0.35">
      <c r="B9" s="37" t="s">
        <v>32</v>
      </c>
      <c r="C9" s="38">
        <v>515722</v>
      </c>
      <c r="D9" s="31"/>
      <c r="E9" s="40" t="s">
        <v>56</v>
      </c>
      <c r="F9" s="41">
        <v>777116</v>
      </c>
      <c r="G9" s="31"/>
      <c r="H9" s="43" t="s">
        <v>57</v>
      </c>
      <c r="I9" s="44">
        <v>987012</v>
      </c>
      <c r="J9" s="31"/>
      <c r="K9" s="46" t="s">
        <v>98</v>
      </c>
      <c r="L9" s="47">
        <v>497988</v>
      </c>
      <c r="M9" s="31"/>
      <c r="N9" s="34" t="s">
        <v>71</v>
      </c>
      <c r="O9" s="35">
        <v>11273.268518518518</v>
      </c>
    </row>
    <row r="10" spans="2:15" x14ac:dyDescent="0.35">
      <c r="B10" s="37" t="s">
        <v>33</v>
      </c>
      <c r="C10" s="38">
        <v>238575</v>
      </c>
      <c r="D10" s="31"/>
      <c r="E10" s="40" t="s">
        <v>58</v>
      </c>
      <c r="F10" s="41">
        <v>751427</v>
      </c>
      <c r="G10" s="31"/>
      <c r="H10" s="43" t="s">
        <v>633</v>
      </c>
      <c r="I10" s="44"/>
      <c r="J10" s="31"/>
      <c r="K10" s="46" t="s">
        <v>151</v>
      </c>
      <c r="L10" s="47">
        <v>498317</v>
      </c>
      <c r="M10" s="31"/>
      <c r="N10" s="34" t="s">
        <v>633</v>
      </c>
      <c r="O10" s="35"/>
    </row>
    <row r="11" spans="2:15" x14ac:dyDescent="0.35">
      <c r="B11" s="37" t="s">
        <v>34</v>
      </c>
      <c r="C11" s="38">
        <v>533333</v>
      </c>
      <c r="D11" s="31"/>
      <c r="E11" s="40" t="s">
        <v>48</v>
      </c>
      <c r="F11" s="41">
        <v>636610</v>
      </c>
      <c r="G11" s="31"/>
      <c r="H11" s="43" t="s">
        <v>626</v>
      </c>
      <c r="I11" s="44">
        <v>4854857</v>
      </c>
      <c r="J11" s="31"/>
      <c r="K11" s="46" t="s">
        <v>124</v>
      </c>
      <c r="L11" s="47">
        <v>489904</v>
      </c>
      <c r="M11" s="31"/>
      <c r="N11" s="34" t="s">
        <v>626</v>
      </c>
      <c r="O11" s="35">
        <v>9709.7139999999999</v>
      </c>
    </row>
    <row r="12" spans="2:15" x14ac:dyDescent="0.35">
      <c r="B12" s="37" t="s">
        <v>35</v>
      </c>
      <c r="C12" s="38">
        <v>407751</v>
      </c>
      <c r="D12" s="31"/>
      <c r="E12" s="40" t="s">
        <v>633</v>
      </c>
      <c r="F12" s="41"/>
      <c r="G12" s="31"/>
      <c r="H12" s="31"/>
      <c r="I12" s="31"/>
      <c r="J12" s="31"/>
      <c r="K12" s="46" t="s">
        <v>134</v>
      </c>
      <c r="L12" s="47">
        <v>376474</v>
      </c>
      <c r="M12" s="31"/>
      <c r="N12" s="31"/>
      <c r="O12" s="31"/>
    </row>
    <row r="13" spans="2:15" x14ac:dyDescent="0.35">
      <c r="B13" s="37" t="s">
        <v>36</v>
      </c>
      <c r="C13" s="38">
        <v>441714</v>
      </c>
      <c r="D13" s="31"/>
      <c r="E13" s="40" t="s">
        <v>626</v>
      </c>
      <c r="F13" s="41">
        <v>4854857</v>
      </c>
      <c r="G13" s="31"/>
      <c r="H13" s="31"/>
      <c r="I13" s="31"/>
      <c r="J13" s="31"/>
      <c r="K13" s="46" t="s">
        <v>116</v>
      </c>
      <c r="L13" s="47">
        <v>477646</v>
      </c>
      <c r="M13" s="31"/>
      <c r="N13" s="31"/>
      <c r="O13" s="31"/>
    </row>
    <row r="14" spans="2:15" x14ac:dyDescent="0.35">
      <c r="B14" s="37" t="s">
        <v>37</v>
      </c>
      <c r="C14" s="38">
        <v>421290</v>
      </c>
      <c r="D14" s="31"/>
      <c r="E14" s="31"/>
      <c r="F14" s="31"/>
      <c r="G14" s="31"/>
      <c r="H14" s="31"/>
      <c r="I14" s="31"/>
      <c r="J14" s="31"/>
      <c r="K14" s="46" t="s">
        <v>94</v>
      </c>
      <c r="L14" s="47">
        <v>448093</v>
      </c>
      <c r="M14" s="31"/>
      <c r="N14" s="31"/>
      <c r="O14" s="31"/>
    </row>
    <row r="15" spans="2:15" x14ac:dyDescent="0.35">
      <c r="B15" s="37" t="s">
        <v>38</v>
      </c>
      <c r="C15" s="38">
        <v>405336</v>
      </c>
      <c r="D15" s="31"/>
      <c r="E15" s="31"/>
      <c r="F15" s="31"/>
      <c r="G15" s="31"/>
      <c r="H15" s="31"/>
      <c r="I15" s="31"/>
      <c r="J15" s="31"/>
      <c r="K15" s="46" t="s">
        <v>633</v>
      </c>
      <c r="L15" s="47"/>
      <c r="M15" s="31"/>
      <c r="N15" s="31"/>
      <c r="O15" s="31"/>
    </row>
    <row r="16" spans="2:15" x14ac:dyDescent="0.35">
      <c r="B16" s="37" t="s">
        <v>39</v>
      </c>
      <c r="C16" s="38">
        <v>556262</v>
      </c>
      <c r="D16" s="31"/>
      <c r="E16" s="31"/>
      <c r="F16" s="31"/>
      <c r="G16" s="31"/>
      <c r="H16" s="31"/>
      <c r="I16" s="31"/>
      <c r="J16" s="31"/>
      <c r="K16" s="46" t="s">
        <v>626</v>
      </c>
      <c r="L16" s="47">
        <v>4854857</v>
      </c>
      <c r="M16" s="31"/>
      <c r="N16" s="31"/>
      <c r="O16" s="31"/>
    </row>
    <row r="17" spans="2:15" x14ac:dyDescent="0.35">
      <c r="B17" s="37" t="s">
        <v>633</v>
      </c>
      <c r="C17" s="38"/>
      <c r="D17" s="31"/>
      <c r="E17" s="31"/>
      <c r="F17" s="31"/>
      <c r="G17" s="31"/>
      <c r="H17" s="31"/>
      <c r="I17" s="31"/>
      <c r="J17" s="31"/>
      <c r="K17" s="30"/>
      <c r="L17" s="30"/>
      <c r="M17" s="31"/>
      <c r="N17" s="31"/>
      <c r="O17" s="31"/>
    </row>
    <row r="18" spans="2:15" x14ac:dyDescent="0.35">
      <c r="B18" s="37" t="s">
        <v>626</v>
      </c>
      <c r="C18" s="38">
        <v>4854857</v>
      </c>
      <c r="D18" s="31"/>
      <c r="E18" s="31"/>
      <c r="F18" s="31"/>
      <c r="G18" s="31"/>
      <c r="H18" s="31"/>
      <c r="I18" s="31"/>
      <c r="J18" s="31"/>
      <c r="K18" s="31"/>
      <c r="L18" s="31"/>
      <c r="M18" s="31"/>
      <c r="N18" s="31"/>
      <c r="O18" s="31"/>
    </row>
    <row r="19" spans="2:15" x14ac:dyDescent="0.35">
      <c r="B19" s="31"/>
      <c r="C19" s="31"/>
      <c r="D19" s="31"/>
      <c r="E19" s="31"/>
      <c r="F19" s="31"/>
      <c r="G19" s="31"/>
      <c r="H19" s="31"/>
      <c r="I19" s="31"/>
      <c r="J19" s="31"/>
      <c r="K19" s="31"/>
      <c r="L19" s="31"/>
      <c r="M19" s="31"/>
      <c r="N19" s="31"/>
      <c r="O19" s="31"/>
    </row>
    <row r="20" spans="2:15" x14ac:dyDescent="0.35">
      <c r="B20" s="31"/>
      <c r="C20" s="31"/>
      <c r="D20" s="31"/>
      <c r="E20" s="31"/>
      <c r="F20" s="31"/>
      <c r="G20" s="31"/>
      <c r="H20" s="31"/>
      <c r="I20" s="31"/>
      <c r="J20" s="31"/>
      <c r="K20" s="31"/>
      <c r="L20" s="31"/>
      <c r="M20" s="31"/>
      <c r="N20" s="31"/>
      <c r="O20" s="31"/>
    </row>
    <row r="21" spans="2:15" x14ac:dyDescent="0.35">
      <c r="B21" s="48" t="s">
        <v>618</v>
      </c>
      <c r="C21" s="48" t="s">
        <v>43</v>
      </c>
      <c r="D21" s="48"/>
      <c r="E21" s="48"/>
      <c r="F21" s="48"/>
      <c r="G21" s="48"/>
      <c r="H21" s="48"/>
      <c r="I21" s="48"/>
      <c r="J21" s="48"/>
      <c r="K21" s="48"/>
      <c r="L21" s="31"/>
      <c r="M21" s="31"/>
      <c r="N21" s="31"/>
      <c r="O21" s="31"/>
    </row>
    <row r="22" spans="2:15" x14ac:dyDescent="0.35">
      <c r="B22" s="48" t="s">
        <v>631</v>
      </c>
      <c r="C22" s="48" t="s">
        <v>54</v>
      </c>
      <c r="D22" s="48" t="s">
        <v>50</v>
      </c>
      <c r="E22" s="48" t="s">
        <v>59</v>
      </c>
      <c r="F22" s="48" t="s">
        <v>52</v>
      </c>
      <c r="G22" s="48" t="s">
        <v>56</v>
      </c>
      <c r="H22" s="48" t="s">
        <v>58</v>
      </c>
      <c r="I22" s="48" t="s">
        <v>48</v>
      </c>
      <c r="J22" s="48" t="s">
        <v>633</v>
      </c>
      <c r="K22" s="48" t="s">
        <v>626</v>
      </c>
      <c r="L22" s="31"/>
      <c r="M22" s="31"/>
      <c r="N22" s="31"/>
      <c r="O22" s="31"/>
    </row>
    <row r="23" spans="2:15" x14ac:dyDescent="0.35">
      <c r="B23" s="49" t="s">
        <v>99</v>
      </c>
      <c r="C23" s="50">
        <v>21</v>
      </c>
      <c r="D23" s="50">
        <v>28</v>
      </c>
      <c r="E23" s="50">
        <v>22</v>
      </c>
      <c r="F23" s="50">
        <v>18</v>
      </c>
      <c r="G23" s="50">
        <v>19</v>
      </c>
      <c r="H23" s="50">
        <v>27</v>
      </c>
      <c r="I23" s="50">
        <v>27</v>
      </c>
      <c r="J23" s="50"/>
      <c r="K23" s="50">
        <v>162</v>
      </c>
      <c r="L23" s="31"/>
      <c r="M23" s="31"/>
      <c r="N23" s="31"/>
      <c r="O23" s="31"/>
    </row>
    <row r="24" spans="2:15" x14ac:dyDescent="0.35">
      <c r="B24" s="49" t="s">
        <v>95</v>
      </c>
      <c r="C24" s="50">
        <v>22</v>
      </c>
      <c r="D24" s="50">
        <v>21</v>
      </c>
      <c r="E24" s="50">
        <v>22</v>
      </c>
      <c r="F24" s="50">
        <v>29</v>
      </c>
      <c r="G24" s="50">
        <v>33</v>
      </c>
      <c r="H24" s="50">
        <v>28</v>
      </c>
      <c r="I24" s="50">
        <v>25</v>
      </c>
      <c r="J24" s="50"/>
      <c r="K24" s="50">
        <v>180</v>
      </c>
      <c r="L24" s="31"/>
      <c r="M24" s="31"/>
      <c r="N24" s="31"/>
      <c r="O24" s="31"/>
    </row>
    <row r="25" spans="2:15" x14ac:dyDescent="0.35">
      <c r="B25" s="49" t="s">
        <v>103</v>
      </c>
      <c r="C25" s="50">
        <v>25</v>
      </c>
      <c r="D25" s="50">
        <v>30</v>
      </c>
      <c r="E25" s="50">
        <v>16</v>
      </c>
      <c r="F25" s="50">
        <v>17</v>
      </c>
      <c r="G25" s="50">
        <v>22</v>
      </c>
      <c r="H25" s="50">
        <v>28</v>
      </c>
      <c r="I25" s="50">
        <v>20</v>
      </c>
      <c r="J25" s="50"/>
      <c r="K25" s="50">
        <v>158</v>
      </c>
      <c r="L25" s="31"/>
      <c r="M25" s="31"/>
      <c r="N25" s="31"/>
      <c r="O25" s="31"/>
    </row>
    <row r="26" spans="2:15" x14ac:dyDescent="0.35">
      <c r="B26" s="49" t="s">
        <v>633</v>
      </c>
      <c r="C26" s="50"/>
      <c r="D26" s="50"/>
      <c r="E26" s="50"/>
      <c r="F26" s="50"/>
      <c r="G26" s="50"/>
      <c r="H26" s="50"/>
      <c r="I26" s="50"/>
      <c r="J26" s="50"/>
      <c r="K26" s="50"/>
      <c r="L26" s="31"/>
      <c r="M26" s="31"/>
      <c r="N26" s="31"/>
      <c r="O26" s="31"/>
    </row>
    <row r="27" spans="2:15" x14ac:dyDescent="0.35">
      <c r="B27" s="49" t="s">
        <v>626</v>
      </c>
      <c r="C27" s="50">
        <v>68</v>
      </c>
      <c r="D27" s="50">
        <v>79</v>
      </c>
      <c r="E27" s="50">
        <v>60</v>
      </c>
      <c r="F27" s="50">
        <v>64</v>
      </c>
      <c r="G27" s="50">
        <v>74</v>
      </c>
      <c r="H27" s="50">
        <v>83</v>
      </c>
      <c r="I27" s="50">
        <v>72</v>
      </c>
      <c r="J27" s="50"/>
      <c r="K27" s="50">
        <v>500</v>
      </c>
      <c r="L27" s="31"/>
      <c r="M27" s="31"/>
      <c r="N27" s="31"/>
      <c r="O27" s="31"/>
    </row>
    <row r="28" spans="2:15" x14ac:dyDescent="0.35">
      <c r="B28" s="31"/>
      <c r="C28" s="31"/>
      <c r="D28" s="31"/>
      <c r="E28" s="31"/>
      <c r="F28" s="31"/>
      <c r="G28" s="31"/>
      <c r="H28" s="31"/>
      <c r="I28" s="31"/>
      <c r="J28" s="31"/>
      <c r="K28" s="31"/>
      <c r="L28" s="31"/>
      <c r="M28" s="31"/>
      <c r="N28" s="31"/>
      <c r="O28" s="31"/>
    </row>
    <row r="29" spans="2:15" x14ac:dyDescent="0.35">
      <c r="B29" s="31"/>
      <c r="C29" s="31"/>
      <c r="D29" s="31"/>
      <c r="E29" s="31"/>
      <c r="F29" s="31"/>
      <c r="G29" s="31"/>
      <c r="H29" s="31"/>
      <c r="I29" s="31"/>
      <c r="J29" s="31"/>
      <c r="K29" s="31"/>
      <c r="L29" s="31"/>
      <c r="M29" s="31"/>
      <c r="N29" s="31"/>
      <c r="O29" s="31"/>
    </row>
  </sheetData>
  <mergeCells count="1">
    <mergeCell ref="B2:O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2"/>
  <sheetViews>
    <sheetView showGridLines="0" tabSelected="1" zoomScale="71" zoomScaleNormal="73" workbookViewId="0">
      <selection activeCell="L4" sqref="L4"/>
    </sheetView>
  </sheetViews>
  <sheetFormatPr defaultColWidth="8.6328125" defaultRowHeight="14.5" x14ac:dyDescent="0.35"/>
  <cols>
    <col min="1" max="1" width="5.90625" customWidth="1"/>
    <col min="3" max="3" width="17.36328125" customWidth="1"/>
    <col min="4" max="4" width="16.90625" customWidth="1"/>
    <col min="6" max="6" width="9.54296875" customWidth="1"/>
    <col min="7" max="7" width="7.26953125" customWidth="1"/>
    <col min="8" max="8" width="20.90625" customWidth="1"/>
    <col min="9" max="9" width="12" customWidth="1"/>
    <col min="11" max="11" width="22.81640625" customWidth="1"/>
    <col min="12" max="12" width="12.7265625" customWidth="1"/>
    <col min="14" max="14" width="18.453125" customWidth="1"/>
    <col min="16" max="16" width="5.54296875" customWidth="1"/>
    <col min="17" max="17" width="24.1796875" customWidth="1"/>
  </cols>
  <sheetData>
    <row r="1" spans="1:20" ht="30.75" customHeight="1" x14ac:dyDescent="1">
      <c r="A1" s="101" t="s">
        <v>619</v>
      </c>
      <c r="B1" s="102"/>
      <c r="C1" s="102"/>
      <c r="D1" s="102"/>
      <c r="E1" s="102"/>
      <c r="F1" s="102"/>
      <c r="G1" s="102"/>
      <c r="H1" s="102"/>
      <c r="I1" s="102"/>
      <c r="J1" s="102"/>
      <c r="K1" s="102"/>
      <c r="L1" s="102"/>
      <c r="M1" s="102"/>
      <c r="N1" s="102"/>
      <c r="O1" s="102"/>
      <c r="P1" s="102"/>
      <c r="Q1" s="102"/>
      <c r="R1" s="102"/>
      <c r="S1" s="102"/>
      <c r="T1" s="102"/>
    </row>
    <row r="2" spans="1:20" x14ac:dyDescent="0.35">
      <c r="A2" s="24"/>
      <c r="B2" s="24"/>
      <c r="C2" s="24"/>
      <c r="D2" s="24"/>
      <c r="E2" s="24"/>
      <c r="F2" s="24"/>
      <c r="G2" s="24"/>
      <c r="H2" s="24"/>
      <c r="I2" s="24"/>
      <c r="J2" s="24"/>
      <c r="K2" s="24"/>
      <c r="L2" s="24"/>
      <c r="M2" s="24"/>
      <c r="N2" s="24"/>
      <c r="O2" s="24"/>
      <c r="P2" s="25"/>
      <c r="Q2" s="24"/>
      <c r="R2" s="24"/>
      <c r="S2" s="24"/>
      <c r="T2" s="24"/>
    </row>
    <row r="3" spans="1:20" x14ac:dyDescent="0.35">
      <c r="A3" s="24"/>
      <c r="B3" s="24"/>
      <c r="C3" s="25"/>
      <c r="D3" s="25"/>
      <c r="E3" s="24"/>
      <c r="F3" s="24"/>
      <c r="G3" s="24"/>
      <c r="H3" s="24"/>
      <c r="I3" s="24"/>
      <c r="J3" s="24"/>
      <c r="K3" s="24"/>
      <c r="L3" s="24"/>
      <c r="M3" s="24"/>
      <c r="N3" s="24"/>
      <c r="O3" s="24"/>
      <c r="P3" s="25"/>
      <c r="Q3" s="24"/>
      <c r="R3" s="24"/>
      <c r="S3" s="24"/>
      <c r="T3" s="24"/>
    </row>
    <row r="4" spans="1:20" ht="28.5" x14ac:dyDescent="0.65">
      <c r="A4" s="24"/>
      <c r="B4" s="25"/>
      <c r="C4" s="103" t="s">
        <v>620</v>
      </c>
      <c r="D4" s="104"/>
      <c r="E4" s="26"/>
      <c r="F4" s="26"/>
      <c r="G4" s="105" t="s">
        <v>621</v>
      </c>
      <c r="H4" s="106"/>
      <c r="I4" s="26"/>
      <c r="J4" s="107" t="s">
        <v>622</v>
      </c>
      <c r="K4" s="108"/>
      <c r="L4" s="26"/>
      <c r="M4" s="109" t="s">
        <v>44</v>
      </c>
      <c r="N4" s="110"/>
      <c r="O4" s="27"/>
      <c r="P4" s="25"/>
      <c r="Q4" s="28" t="s">
        <v>623</v>
      </c>
      <c r="R4" s="24"/>
      <c r="S4" s="24"/>
      <c r="T4" s="24"/>
    </row>
    <row r="5" spans="1:20" ht="26" x14ac:dyDescent="0.6">
      <c r="A5" s="25"/>
      <c r="B5" s="25"/>
      <c r="C5" s="94">
        <f>SUM('Raw Data'!M:M)</f>
        <v>10641857</v>
      </c>
      <c r="D5" s="95"/>
      <c r="E5" s="25"/>
      <c r="F5" s="25"/>
      <c r="G5" s="96">
        <f>SUM('KPI Dashboard'!J7:K8)</f>
        <v>500</v>
      </c>
      <c r="H5" s="97"/>
      <c r="I5" s="25"/>
      <c r="J5" s="98">
        <f>SUM('KPI Dashboard'!M7:N8)</f>
        <v>3897</v>
      </c>
      <c r="K5" s="99"/>
      <c r="L5" s="25"/>
      <c r="M5" s="100">
        <f>SUM('Raw Data'!P:P)</f>
        <v>8454342</v>
      </c>
      <c r="N5" s="100"/>
      <c r="O5" s="25"/>
      <c r="P5" s="25"/>
      <c r="Q5" s="29">
        <f>SUM('Raw Data'!R:R)</f>
        <v>3599485</v>
      </c>
      <c r="R5" s="25"/>
      <c r="S5" s="25"/>
      <c r="T5" s="25"/>
    </row>
    <row r="6" spans="1:20" x14ac:dyDescent="0.35">
      <c r="A6" s="25"/>
      <c r="B6" s="25"/>
      <c r="C6" s="25"/>
      <c r="D6" s="25"/>
      <c r="E6" s="25"/>
      <c r="F6" s="25"/>
      <c r="G6" s="25"/>
      <c r="H6" s="25"/>
      <c r="I6" s="25"/>
      <c r="J6" s="25"/>
      <c r="K6" s="25"/>
      <c r="L6" s="25"/>
      <c r="M6" s="25"/>
      <c r="N6" s="25"/>
      <c r="O6" s="25"/>
      <c r="P6" s="25"/>
      <c r="Q6" s="25"/>
      <c r="R6" s="25"/>
      <c r="S6" s="25"/>
      <c r="T6" s="25"/>
    </row>
    <row r="7" spans="1:20" x14ac:dyDescent="0.35">
      <c r="A7" s="25"/>
      <c r="B7" s="25"/>
      <c r="C7" s="25"/>
      <c r="D7" s="25"/>
      <c r="E7" s="25"/>
      <c r="F7" s="25"/>
      <c r="G7" s="25"/>
      <c r="H7" s="25"/>
      <c r="I7" s="25"/>
      <c r="J7" s="25"/>
      <c r="K7" s="25"/>
      <c r="L7" s="25"/>
      <c r="M7" s="25"/>
      <c r="N7" s="25"/>
      <c r="O7" s="25"/>
      <c r="P7" s="25"/>
      <c r="Q7" s="25"/>
      <c r="R7" s="25"/>
      <c r="S7" s="25"/>
      <c r="T7" s="25"/>
    </row>
    <row r="8" spans="1:20" x14ac:dyDescent="0.35">
      <c r="A8" s="25"/>
      <c r="B8" s="25"/>
      <c r="C8" s="25"/>
      <c r="D8" s="25"/>
      <c r="E8" s="25"/>
      <c r="F8" s="25"/>
      <c r="G8" s="25"/>
      <c r="H8" s="25"/>
      <c r="I8" s="25"/>
      <c r="J8" s="25"/>
      <c r="K8" s="25"/>
      <c r="L8" s="25"/>
      <c r="M8" s="25"/>
      <c r="N8" s="25"/>
      <c r="O8" s="25"/>
      <c r="P8" s="25"/>
      <c r="Q8" s="25"/>
      <c r="R8" s="25"/>
      <c r="S8" s="25"/>
      <c r="T8" s="25"/>
    </row>
    <row r="9" spans="1:20" x14ac:dyDescent="0.35">
      <c r="A9" s="25"/>
      <c r="B9" s="25"/>
      <c r="C9" s="25"/>
      <c r="D9" s="25"/>
      <c r="E9" s="25"/>
      <c r="F9" s="25"/>
      <c r="G9" s="25"/>
      <c r="H9" s="25"/>
      <c r="I9" s="25"/>
      <c r="J9" s="25"/>
      <c r="K9" s="25"/>
      <c r="L9" s="25"/>
      <c r="M9" s="25"/>
      <c r="N9" s="25"/>
      <c r="O9" s="25"/>
      <c r="P9" s="25"/>
      <c r="Q9" s="25"/>
      <c r="R9" s="25"/>
      <c r="S9" s="25"/>
      <c r="T9" s="25"/>
    </row>
    <row r="10" spans="1:20" x14ac:dyDescent="0.35">
      <c r="A10" s="25"/>
      <c r="B10" s="25"/>
      <c r="C10" s="25"/>
      <c r="D10" s="25"/>
      <c r="E10" s="25"/>
      <c r="F10" s="25"/>
      <c r="G10" s="25"/>
      <c r="H10" s="25"/>
      <c r="I10" s="25"/>
      <c r="J10" s="25"/>
      <c r="K10" s="25"/>
      <c r="L10" s="25"/>
      <c r="M10" s="25"/>
      <c r="N10" s="25"/>
      <c r="O10" s="25"/>
      <c r="P10" s="25"/>
      <c r="Q10" s="25"/>
      <c r="R10" s="25"/>
      <c r="S10" s="25"/>
      <c r="T10" s="25"/>
    </row>
    <row r="11" spans="1:20" x14ac:dyDescent="0.35">
      <c r="A11" s="25"/>
      <c r="B11" s="25"/>
      <c r="C11" s="25"/>
      <c r="D11" s="25"/>
      <c r="E11" s="25"/>
      <c r="F11" s="25"/>
      <c r="G11" s="25"/>
      <c r="H11" s="25"/>
      <c r="I11" s="25"/>
      <c r="J11" s="25"/>
      <c r="K11" s="25"/>
      <c r="L11" s="25"/>
      <c r="M11" s="25"/>
      <c r="N11" s="25"/>
      <c r="O11" s="25"/>
      <c r="P11" s="25"/>
      <c r="Q11" s="25"/>
      <c r="R11" s="25"/>
      <c r="S11" s="25"/>
      <c r="T11" s="25"/>
    </row>
    <row r="12" spans="1:20" x14ac:dyDescent="0.35">
      <c r="A12" s="25"/>
      <c r="B12" s="25"/>
      <c r="C12" s="25"/>
      <c r="D12" s="25"/>
      <c r="E12" s="25"/>
      <c r="F12" s="25"/>
      <c r="G12" s="25"/>
      <c r="H12" s="25"/>
      <c r="I12" s="25"/>
      <c r="J12" s="25"/>
      <c r="K12" s="25"/>
      <c r="L12" s="25"/>
      <c r="M12" s="25"/>
      <c r="N12" s="25"/>
      <c r="O12" s="25"/>
      <c r="P12" s="25"/>
      <c r="Q12" s="25"/>
      <c r="R12" s="25"/>
      <c r="S12" s="25"/>
      <c r="T12" s="25"/>
    </row>
    <row r="13" spans="1:20" x14ac:dyDescent="0.35">
      <c r="A13" s="25"/>
      <c r="B13" s="25"/>
      <c r="C13" s="25"/>
      <c r="D13" s="25"/>
      <c r="E13" s="25"/>
      <c r="F13" s="25"/>
      <c r="G13" s="25"/>
      <c r="H13" s="25"/>
      <c r="I13" s="25"/>
      <c r="J13" s="25"/>
      <c r="K13" s="25"/>
      <c r="L13" s="25"/>
      <c r="M13" s="25"/>
      <c r="N13" s="25"/>
      <c r="O13" s="25"/>
      <c r="P13" s="25"/>
      <c r="Q13" s="25"/>
      <c r="R13" s="25"/>
      <c r="S13" s="25"/>
      <c r="T13" s="25"/>
    </row>
    <row r="14" spans="1:20" x14ac:dyDescent="0.35">
      <c r="A14" s="25"/>
      <c r="B14" s="25"/>
      <c r="C14" s="25"/>
      <c r="D14" s="25"/>
      <c r="E14" s="25"/>
      <c r="F14" s="25"/>
      <c r="G14" s="25"/>
      <c r="H14" s="25"/>
      <c r="I14" s="25"/>
      <c r="J14" s="25"/>
      <c r="K14" s="25"/>
      <c r="L14" s="25"/>
      <c r="M14" s="25"/>
      <c r="N14" s="25"/>
      <c r="O14" s="25"/>
      <c r="P14" s="25"/>
      <c r="Q14" s="25"/>
      <c r="R14" s="25"/>
      <c r="S14" s="25"/>
      <c r="T14" s="25"/>
    </row>
    <row r="15" spans="1:20" x14ac:dyDescent="0.35">
      <c r="A15" s="25"/>
      <c r="B15" s="25"/>
      <c r="C15" s="25"/>
      <c r="D15" s="25"/>
      <c r="E15" s="25"/>
      <c r="F15" s="25"/>
      <c r="G15" s="25"/>
      <c r="H15" s="25"/>
      <c r="I15" s="25"/>
      <c r="J15" s="25"/>
      <c r="K15" s="25"/>
      <c r="L15" s="25"/>
      <c r="M15" s="25"/>
      <c r="N15" s="25"/>
      <c r="O15" s="25"/>
      <c r="P15" s="25"/>
      <c r="Q15" s="25"/>
      <c r="R15" s="25"/>
      <c r="S15" s="25"/>
      <c r="T15" s="25"/>
    </row>
    <row r="16" spans="1:20" x14ac:dyDescent="0.35">
      <c r="A16" s="25"/>
      <c r="B16" s="25"/>
      <c r="C16" s="25"/>
      <c r="D16" s="25"/>
      <c r="E16" s="25"/>
      <c r="F16" s="25"/>
      <c r="G16" s="25"/>
      <c r="H16" s="25"/>
      <c r="I16" s="25"/>
      <c r="J16" s="25"/>
      <c r="K16" s="25"/>
      <c r="L16" s="25"/>
      <c r="M16" s="25"/>
      <c r="N16" s="25"/>
      <c r="O16" s="25"/>
      <c r="P16" s="25"/>
      <c r="Q16" s="25"/>
      <c r="R16" s="25"/>
      <c r="S16" s="25"/>
      <c r="T16" s="25"/>
    </row>
    <row r="17" spans="1:20" x14ac:dyDescent="0.35">
      <c r="A17" s="25"/>
      <c r="B17" s="25"/>
      <c r="C17" s="25"/>
      <c r="D17" s="25"/>
      <c r="E17" s="25"/>
      <c r="F17" s="25"/>
      <c r="G17" s="25"/>
      <c r="H17" s="25"/>
      <c r="I17" s="25"/>
      <c r="J17" s="25"/>
      <c r="K17" s="25"/>
      <c r="L17" s="25"/>
      <c r="M17" s="25"/>
      <c r="N17" s="25"/>
      <c r="O17" s="25"/>
      <c r="P17" s="25"/>
      <c r="Q17" s="25"/>
      <c r="R17" s="25"/>
      <c r="S17" s="25"/>
      <c r="T17" s="25"/>
    </row>
    <row r="18" spans="1:20" x14ac:dyDescent="0.35">
      <c r="A18" s="25"/>
      <c r="B18" s="25"/>
      <c r="C18" s="25"/>
      <c r="D18" s="25"/>
      <c r="E18" s="25"/>
      <c r="F18" s="25"/>
      <c r="G18" s="25"/>
      <c r="H18" s="25"/>
      <c r="I18" s="25"/>
      <c r="J18" s="25"/>
      <c r="K18" s="25"/>
      <c r="L18" s="25"/>
      <c r="M18" s="25"/>
      <c r="N18" s="25"/>
      <c r="O18" s="25"/>
      <c r="P18" s="25"/>
      <c r="Q18" s="25"/>
      <c r="R18" s="25"/>
      <c r="S18" s="25"/>
      <c r="T18" s="25"/>
    </row>
    <row r="19" spans="1:20" x14ac:dyDescent="0.35">
      <c r="A19" s="25"/>
      <c r="B19" s="25"/>
      <c r="C19" s="25"/>
      <c r="D19" s="25"/>
      <c r="E19" s="25"/>
      <c r="F19" s="25"/>
      <c r="G19" s="25"/>
      <c r="H19" s="25"/>
      <c r="I19" s="25"/>
      <c r="J19" s="25"/>
      <c r="K19" s="25"/>
      <c r="L19" s="25"/>
      <c r="M19" s="25"/>
      <c r="N19" s="25"/>
      <c r="O19" s="25"/>
      <c r="P19" s="25"/>
      <c r="Q19" s="25"/>
      <c r="R19" s="25"/>
      <c r="S19" s="25"/>
      <c r="T19" s="25"/>
    </row>
    <row r="20" spans="1:20" x14ac:dyDescent="0.35">
      <c r="A20" s="25"/>
      <c r="B20" s="25"/>
      <c r="C20" s="25"/>
      <c r="D20" s="25"/>
      <c r="E20" s="25"/>
      <c r="F20" s="25"/>
      <c r="G20" s="25"/>
      <c r="H20" s="25"/>
      <c r="I20" s="25"/>
      <c r="J20" s="25"/>
      <c r="K20" s="25"/>
      <c r="L20" s="25"/>
      <c r="M20" s="25"/>
      <c r="N20" s="25"/>
      <c r="O20" s="25"/>
      <c r="P20" s="25"/>
      <c r="Q20" s="25"/>
      <c r="R20" s="25"/>
      <c r="S20" s="25"/>
      <c r="T20" s="25"/>
    </row>
    <row r="21" spans="1:20" x14ac:dyDescent="0.35">
      <c r="A21" s="25"/>
      <c r="B21" s="25"/>
      <c r="C21" s="25"/>
      <c r="D21" s="25"/>
      <c r="E21" s="25"/>
      <c r="F21" s="25"/>
      <c r="G21" s="25"/>
      <c r="H21" s="25"/>
      <c r="I21" s="25"/>
      <c r="J21" s="25"/>
      <c r="K21" s="25"/>
      <c r="L21" s="25"/>
      <c r="M21" s="25"/>
      <c r="N21" s="25"/>
      <c r="O21" s="25"/>
      <c r="P21" s="25"/>
      <c r="Q21" s="25"/>
      <c r="R21" s="25"/>
      <c r="S21" s="25"/>
      <c r="T21" s="25"/>
    </row>
    <row r="22" spans="1:20" x14ac:dyDescent="0.35">
      <c r="A22" s="25"/>
      <c r="B22" s="25"/>
      <c r="C22" s="25"/>
      <c r="D22" s="25"/>
      <c r="E22" s="25"/>
      <c r="F22" s="25"/>
      <c r="G22" s="25"/>
      <c r="H22" s="25"/>
      <c r="I22" s="25"/>
      <c r="J22" s="25"/>
      <c r="K22" s="25"/>
      <c r="L22" s="25"/>
      <c r="M22" s="25"/>
      <c r="N22" s="25"/>
      <c r="O22" s="25"/>
      <c r="P22" s="25"/>
      <c r="Q22" s="25"/>
      <c r="R22" s="25"/>
      <c r="S22" s="25"/>
      <c r="T22" s="25"/>
    </row>
    <row r="23" spans="1:20" x14ac:dyDescent="0.35">
      <c r="A23" s="25"/>
      <c r="B23" s="25"/>
      <c r="C23" s="25"/>
      <c r="D23" s="25"/>
      <c r="E23" s="25"/>
      <c r="F23" s="25"/>
      <c r="G23" s="25"/>
      <c r="H23" s="25"/>
      <c r="I23" s="25"/>
      <c r="J23" s="25"/>
      <c r="K23" s="25"/>
      <c r="L23" s="25"/>
      <c r="M23" s="25"/>
      <c r="N23" s="25"/>
      <c r="O23" s="25"/>
      <c r="P23" s="25"/>
      <c r="Q23" s="25"/>
      <c r="R23" s="25"/>
      <c r="S23" s="25"/>
      <c r="T23" s="25"/>
    </row>
    <row r="24" spans="1:20" x14ac:dyDescent="0.35">
      <c r="A24" s="25"/>
      <c r="B24" s="25"/>
      <c r="C24" s="25"/>
      <c r="D24" s="25"/>
      <c r="E24" s="25"/>
      <c r="F24" s="25"/>
      <c r="G24" s="25"/>
      <c r="H24" s="25"/>
      <c r="I24" s="25"/>
      <c r="J24" s="25"/>
      <c r="K24" s="25"/>
      <c r="L24" s="25"/>
      <c r="M24" s="25"/>
      <c r="N24" s="25"/>
      <c r="O24" s="25"/>
      <c r="P24" s="25"/>
      <c r="Q24" s="25"/>
      <c r="R24" s="25"/>
      <c r="S24" s="25"/>
      <c r="T24" s="25"/>
    </row>
    <row r="25" spans="1:20" x14ac:dyDescent="0.35">
      <c r="A25" s="25"/>
      <c r="B25" s="25"/>
      <c r="C25" s="25"/>
      <c r="D25" s="25"/>
      <c r="E25" s="25"/>
      <c r="F25" s="25"/>
      <c r="G25" s="25"/>
      <c r="H25" s="25"/>
      <c r="I25" s="25"/>
      <c r="J25" s="25"/>
      <c r="K25" s="25"/>
      <c r="L25" s="25"/>
      <c r="M25" s="25"/>
      <c r="N25" s="25"/>
      <c r="O25" s="25"/>
      <c r="P25" s="25"/>
      <c r="Q25" s="25"/>
      <c r="R25" s="25"/>
      <c r="S25" s="25"/>
      <c r="T25" s="25"/>
    </row>
    <row r="26" spans="1:20" x14ac:dyDescent="0.35">
      <c r="A26" s="25"/>
      <c r="B26" s="25"/>
      <c r="C26" s="25"/>
      <c r="D26" s="25"/>
      <c r="E26" s="25"/>
      <c r="F26" s="25"/>
      <c r="G26" s="25"/>
      <c r="H26" s="25"/>
      <c r="I26" s="25"/>
      <c r="J26" s="25"/>
      <c r="K26" s="25"/>
      <c r="L26" s="25"/>
      <c r="M26" s="25"/>
      <c r="N26" s="25"/>
      <c r="O26" s="25"/>
      <c r="P26" s="25"/>
      <c r="Q26" s="25"/>
      <c r="R26" s="25"/>
      <c r="S26" s="25"/>
      <c r="T26" s="25"/>
    </row>
    <row r="27" spans="1:20" x14ac:dyDescent="0.35">
      <c r="A27" s="25"/>
      <c r="B27" s="25"/>
      <c r="C27" s="25"/>
      <c r="D27" s="25"/>
      <c r="E27" s="25"/>
      <c r="F27" s="25"/>
      <c r="G27" s="25"/>
      <c r="H27" s="25"/>
      <c r="I27" s="25"/>
      <c r="J27" s="25"/>
      <c r="K27" s="25"/>
      <c r="L27" s="25"/>
      <c r="M27" s="25"/>
      <c r="N27" s="25"/>
      <c r="O27" s="25"/>
      <c r="P27" s="25"/>
      <c r="Q27" s="25"/>
      <c r="R27" s="25"/>
      <c r="S27" s="25"/>
      <c r="T27" s="25"/>
    </row>
    <row r="28" spans="1:20" x14ac:dyDescent="0.35">
      <c r="A28" s="25"/>
      <c r="B28" s="25"/>
      <c r="C28" s="25"/>
      <c r="D28" s="25"/>
      <c r="E28" s="25"/>
      <c r="F28" s="25"/>
      <c r="G28" s="25"/>
      <c r="H28" s="25"/>
      <c r="I28" s="25"/>
      <c r="J28" s="25"/>
      <c r="K28" s="25"/>
      <c r="L28" s="25"/>
      <c r="M28" s="25"/>
      <c r="N28" s="25"/>
      <c r="O28" s="25"/>
      <c r="P28" s="25"/>
      <c r="Q28" s="25"/>
      <c r="R28" s="25"/>
      <c r="S28" s="25"/>
      <c r="T28" s="25"/>
    </row>
    <row r="29" spans="1:20" x14ac:dyDescent="0.35">
      <c r="A29" s="25"/>
      <c r="B29" s="25"/>
      <c r="C29" s="25"/>
      <c r="D29" s="25"/>
      <c r="E29" s="25"/>
      <c r="F29" s="25"/>
      <c r="G29" s="25"/>
      <c r="H29" s="25"/>
      <c r="I29" s="25"/>
      <c r="J29" s="25"/>
      <c r="K29" s="25"/>
      <c r="L29" s="25"/>
      <c r="M29" s="25"/>
      <c r="N29" s="25"/>
      <c r="O29" s="25"/>
      <c r="P29" s="25"/>
      <c r="Q29" s="25"/>
      <c r="R29" s="25"/>
      <c r="S29" s="25"/>
      <c r="T29" s="25"/>
    </row>
    <row r="30" spans="1:20" x14ac:dyDescent="0.35">
      <c r="A30" s="25"/>
      <c r="B30" s="25"/>
      <c r="C30" s="25"/>
      <c r="D30" s="25"/>
      <c r="E30" s="25"/>
      <c r="F30" s="25"/>
      <c r="G30" s="25"/>
      <c r="H30" s="25"/>
      <c r="I30" s="25"/>
      <c r="J30" s="25"/>
      <c r="K30" s="25"/>
      <c r="L30" s="25"/>
      <c r="M30" s="25"/>
      <c r="N30" s="25"/>
      <c r="O30" s="25"/>
      <c r="P30" s="25"/>
      <c r="Q30" s="25"/>
      <c r="R30" s="25"/>
      <c r="S30" s="25"/>
      <c r="T30" s="25"/>
    </row>
    <row r="31" spans="1:20" x14ac:dyDescent="0.35">
      <c r="A31" s="25"/>
      <c r="B31" s="25"/>
      <c r="C31" s="25"/>
      <c r="D31" s="25"/>
      <c r="E31" s="25"/>
      <c r="F31" s="25"/>
      <c r="G31" s="25"/>
      <c r="H31" s="25"/>
      <c r="I31" s="25"/>
      <c r="J31" s="25"/>
      <c r="K31" s="25"/>
      <c r="L31" s="25"/>
      <c r="M31" s="25"/>
      <c r="N31" s="25"/>
      <c r="O31" s="25"/>
      <c r="P31" s="25"/>
      <c r="Q31" s="25"/>
      <c r="R31" s="25"/>
      <c r="S31" s="25"/>
      <c r="T31" s="25"/>
    </row>
    <row r="32" spans="1:20" x14ac:dyDescent="0.35">
      <c r="A32" s="25"/>
      <c r="B32" s="25"/>
      <c r="C32" s="25"/>
      <c r="D32" s="25"/>
      <c r="E32" s="25"/>
      <c r="F32" s="25"/>
      <c r="G32" s="25"/>
      <c r="H32" s="25"/>
      <c r="I32" s="25"/>
      <c r="J32" s="25"/>
      <c r="K32" s="25"/>
      <c r="L32" s="25"/>
      <c r="M32" s="25"/>
      <c r="N32" s="25"/>
      <c r="O32" s="25"/>
      <c r="P32" s="25"/>
      <c r="Q32" s="25"/>
      <c r="R32" s="25"/>
      <c r="S32" s="25"/>
      <c r="T32" s="25"/>
    </row>
    <row r="33" spans="1:20" x14ac:dyDescent="0.35">
      <c r="A33" s="25"/>
      <c r="B33" s="25"/>
      <c r="C33" s="25"/>
      <c r="D33" s="25"/>
      <c r="E33" s="25"/>
      <c r="F33" s="25"/>
      <c r="G33" s="25"/>
      <c r="H33" s="25"/>
      <c r="I33" s="25"/>
      <c r="J33" s="25"/>
      <c r="K33" s="25"/>
      <c r="L33" s="25"/>
      <c r="M33" s="25"/>
      <c r="N33" s="25"/>
      <c r="O33" s="25"/>
      <c r="P33" s="25"/>
      <c r="Q33" s="25"/>
      <c r="R33" s="25"/>
      <c r="S33" s="25"/>
      <c r="T33" s="25"/>
    </row>
    <row r="34" spans="1:20" x14ac:dyDescent="0.35">
      <c r="A34" s="25"/>
      <c r="B34" s="25"/>
      <c r="C34" s="25"/>
      <c r="D34" s="25"/>
      <c r="E34" s="25"/>
      <c r="F34" s="25"/>
      <c r="G34" s="25"/>
      <c r="H34" s="25"/>
      <c r="I34" s="25"/>
      <c r="J34" s="25"/>
      <c r="K34" s="25"/>
      <c r="L34" s="25"/>
      <c r="M34" s="25"/>
      <c r="N34" s="25"/>
      <c r="O34" s="25"/>
      <c r="P34" s="25"/>
      <c r="Q34" s="25"/>
      <c r="R34" s="25"/>
      <c r="S34" s="25"/>
      <c r="T34" s="25"/>
    </row>
    <row r="35" spans="1:20" x14ac:dyDescent="0.35">
      <c r="A35" s="25"/>
      <c r="B35" s="25"/>
      <c r="C35" s="25"/>
      <c r="D35" s="25"/>
      <c r="E35" s="25"/>
      <c r="F35" s="25"/>
      <c r="G35" s="25"/>
      <c r="H35" s="25"/>
      <c r="I35" s="25"/>
      <c r="J35" s="25"/>
      <c r="K35" s="25"/>
      <c r="L35" s="25"/>
      <c r="M35" s="25"/>
      <c r="N35" s="25"/>
      <c r="O35" s="25"/>
      <c r="P35" s="25"/>
      <c r="Q35" s="25"/>
      <c r="R35" s="25"/>
      <c r="S35" s="25"/>
      <c r="T35" s="25"/>
    </row>
    <row r="36" spans="1:20" x14ac:dyDescent="0.35">
      <c r="A36" s="25"/>
      <c r="B36" s="25"/>
      <c r="C36" s="25"/>
      <c r="D36" s="25"/>
      <c r="E36" s="25"/>
      <c r="F36" s="25"/>
      <c r="G36" s="25"/>
      <c r="H36" s="25"/>
      <c r="I36" s="25"/>
      <c r="J36" s="25"/>
      <c r="K36" s="25"/>
      <c r="L36" s="25"/>
      <c r="M36" s="25"/>
      <c r="N36" s="25"/>
      <c r="O36" s="25"/>
      <c r="P36" s="25"/>
      <c r="Q36" s="25"/>
      <c r="R36" s="25"/>
      <c r="S36" s="25"/>
      <c r="T36" s="25"/>
    </row>
    <row r="37" spans="1:20" x14ac:dyDescent="0.35">
      <c r="A37" s="25"/>
      <c r="B37" s="25"/>
      <c r="C37" s="25"/>
      <c r="D37" s="25"/>
      <c r="E37" s="25"/>
      <c r="F37" s="25"/>
      <c r="G37" s="25"/>
      <c r="H37" s="25"/>
      <c r="I37" s="25"/>
      <c r="J37" s="25"/>
      <c r="K37" s="25"/>
      <c r="L37" s="25"/>
      <c r="M37" s="25"/>
      <c r="N37" s="25"/>
      <c r="O37" s="25"/>
      <c r="P37" s="25"/>
      <c r="Q37" s="25"/>
      <c r="R37" s="25"/>
      <c r="S37" s="25"/>
      <c r="T37" s="25"/>
    </row>
    <row r="38" spans="1:20" x14ac:dyDescent="0.35">
      <c r="A38" s="25"/>
      <c r="B38" s="25"/>
      <c r="C38" s="25"/>
      <c r="D38" s="25"/>
      <c r="E38" s="25"/>
      <c r="F38" s="25"/>
      <c r="G38" s="25"/>
      <c r="H38" s="25"/>
      <c r="I38" s="25"/>
      <c r="J38" s="25"/>
      <c r="K38" s="25"/>
      <c r="L38" s="25"/>
      <c r="M38" s="25"/>
      <c r="N38" s="25"/>
      <c r="O38" s="25"/>
      <c r="P38" s="25"/>
      <c r="Q38" s="25"/>
      <c r="R38" s="25"/>
      <c r="S38" s="25"/>
      <c r="T38" s="25"/>
    </row>
    <row r="39" spans="1:20" x14ac:dyDescent="0.35">
      <c r="A39" s="25"/>
      <c r="B39" s="25"/>
      <c r="C39" s="25"/>
      <c r="D39" s="25"/>
      <c r="E39" s="25"/>
      <c r="F39" s="25"/>
      <c r="G39" s="25"/>
      <c r="H39" s="25"/>
      <c r="I39" s="25"/>
      <c r="J39" s="25"/>
      <c r="K39" s="25"/>
      <c r="L39" s="25"/>
      <c r="M39" s="25"/>
      <c r="N39" s="25"/>
      <c r="O39" s="25"/>
      <c r="P39" s="25"/>
      <c r="Q39" s="25"/>
      <c r="R39" s="25"/>
      <c r="S39" s="25"/>
      <c r="T39" s="25"/>
    </row>
    <row r="40" spans="1:20" x14ac:dyDescent="0.35">
      <c r="A40" s="25"/>
      <c r="B40" s="25"/>
      <c r="C40" s="25"/>
      <c r="D40" s="25"/>
      <c r="E40" s="25"/>
      <c r="F40" s="25"/>
      <c r="G40" s="25"/>
      <c r="H40" s="25"/>
      <c r="I40" s="25"/>
      <c r="J40" s="25"/>
      <c r="K40" s="25"/>
      <c r="L40" s="25"/>
      <c r="M40" s="25"/>
      <c r="N40" s="25"/>
      <c r="O40" s="25"/>
      <c r="P40" s="25"/>
      <c r="Q40" s="25"/>
      <c r="R40" s="25"/>
      <c r="S40" s="25"/>
      <c r="T40" s="25"/>
    </row>
    <row r="41" spans="1:20" x14ac:dyDescent="0.35">
      <c r="A41" s="25"/>
      <c r="B41" s="25"/>
      <c r="C41" s="25"/>
      <c r="D41" s="25"/>
      <c r="E41" s="25"/>
      <c r="F41" s="25"/>
      <c r="G41" s="25"/>
      <c r="H41" s="25"/>
      <c r="I41" s="25"/>
      <c r="J41" s="25"/>
      <c r="K41" s="25"/>
      <c r="L41" s="25"/>
      <c r="M41" s="25"/>
      <c r="N41" s="25"/>
      <c r="O41" s="25"/>
      <c r="P41" s="25"/>
      <c r="Q41" s="25"/>
      <c r="R41" s="25"/>
      <c r="S41" s="25"/>
      <c r="T41" s="25"/>
    </row>
    <row r="42" spans="1:20" x14ac:dyDescent="0.35">
      <c r="A42" s="25"/>
      <c r="B42" s="25"/>
      <c r="C42" s="25"/>
      <c r="D42" s="25"/>
      <c r="E42" s="25"/>
      <c r="F42" s="25"/>
      <c r="G42" s="25"/>
      <c r="H42" s="25"/>
      <c r="I42" s="25"/>
      <c r="J42" s="25"/>
      <c r="K42" s="25"/>
      <c r="L42" s="25"/>
      <c r="M42" s="25"/>
      <c r="N42" s="25"/>
      <c r="O42" s="25"/>
      <c r="P42" s="25"/>
      <c r="Q42" s="25"/>
      <c r="R42" s="25"/>
      <c r="S42" s="25"/>
      <c r="T42" s="25"/>
    </row>
    <row r="43" spans="1:20" x14ac:dyDescent="0.35">
      <c r="A43" s="25"/>
      <c r="B43" s="25"/>
      <c r="C43" s="25"/>
      <c r="D43" s="25"/>
      <c r="E43" s="25"/>
      <c r="F43" s="25"/>
      <c r="G43" s="25"/>
      <c r="H43" s="25"/>
      <c r="I43" s="25"/>
      <c r="J43" s="25"/>
      <c r="K43" s="25"/>
      <c r="L43" s="25"/>
      <c r="M43" s="25"/>
      <c r="N43" s="25"/>
      <c r="O43" s="25"/>
      <c r="P43" s="25"/>
      <c r="Q43" s="25"/>
      <c r="R43" s="25"/>
      <c r="S43" s="25"/>
      <c r="T43" s="25"/>
    </row>
    <row r="44" spans="1:20" x14ac:dyDescent="0.35">
      <c r="A44" s="25"/>
      <c r="B44" s="25"/>
      <c r="C44" s="25"/>
      <c r="D44" s="25"/>
      <c r="E44" s="25"/>
      <c r="F44" s="25"/>
      <c r="G44" s="25"/>
      <c r="H44" s="25"/>
      <c r="I44" s="25"/>
      <c r="J44" s="25"/>
      <c r="K44" s="25"/>
      <c r="L44" s="25"/>
      <c r="M44" s="25"/>
      <c r="N44" s="25"/>
      <c r="O44" s="25"/>
      <c r="P44" s="25"/>
      <c r="Q44" s="25"/>
      <c r="R44" s="25"/>
      <c r="S44" s="25"/>
      <c r="T44" s="25"/>
    </row>
    <row r="45" spans="1:20" x14ac:dyDescent="0.35">
      <c r="A45" s="25"/>
      <c r="B45" s="25"/>
      <c r="C45" s="25"/>
      <c r="D45" s="25"/>
      <c r="E45" s="25"/>
      <c r="F45" s="25"/>
      <c r="G45" s="25"/>
      <c r="H45" s="25"/>
      <c r="I45" s="25"/>
      <c r="J45" s="25"/>
      <c r="K45" s="25"/>
      <c r="L45" s="25"/>
      <c r="M45" s="25"/>
      <c r="N45" s="25"/>
      <c r="O45" s="25"/>
      <c r="P45" s="25"/>
      <c r="Q45" s="25"/>
      <c r="R45" s="25"/>
      <c r="S45" s="25"/>
      <c r="T45" s="25"/>
    </row>
    <row r="46" spans="1:20" x14ac:dyDescent="0.35">
      <c r="A46" s="25"/>
      <c r="B46" s="25"/>
      <c r="C46" s="25"/>
      <c r="D46" s="25"/>
      <c r="E46" s="25"/>
      <c r="F46" s="25"/>
      <c r="G46" s="25"/>
      <c r="H46" s="25"/>
      <c r="I46" s="25"/>
      <c r="J46" s="25"/>
      <c r="K46" s="25"/>
      <c r="L46" s="25"/>
      <c r="M46" s="25"/>
      <c r="N46" s="25"/>
      <c r="O46" s="25"/>
      <c r="P46" s="25"/>
      <c r="Q46" s="25"/>
      <c r="R46" s="25"/>
      <c r="S46" s="25"/>
      <c r="T46" s="25"/>
    </row>
    <row r="47" spans="1:20" x14ac:dyDescent="0.35">
      <c r="A47" s="25"/>
      <c r="B47" s="25"/>
      <c r="C47" s="25"/>
      <c r="D47" s="25"/>
      <c r="E47" s="25"/>
      <c r="F47" s="25"/>
      <c r="G47" s="25"/>
      <c r="H47" s="25"/>
      <c r="I47" s="25"/>
      <c r="J47" s="25"/>
      <c r="K47" s="25"/>
      <c r="L47" s="25"/>
      <c r="M47" s="25"/>
      <c r="N47" s="25"/>
      <c r="O47" s="25"/>
      <c r="P47" s="25"/>
      <c r="Q47" s="25"/>
      <c r="R47" s="25"/>
      <c r="S47" s="25"/>
      <c r="T47" s="25"/>
    </row>
    <row r="48" spans="1:20" x14ac:dyDescent="0.35">
      <c r="A48" s="25"/>
      <c r="B48" s="25"/>
      <c r="C48" s="25"/>
      <c r="D48" s="25"/>
      <c r="E48" s="25"/>
      <c r="F48" s="25"/>
      <c r="G48" s="25"/>
      <c r="H48" s="25"/>
      <c r="I48" s="25"/>
      <c r="J48" s="25"/>
      <c r="K48" s="25"/>
      <c r="L48" s="25"/>
      <c r="M48" s="25"/>
      <c r="N48" s="25"/>
      <c r="O48" s="25"/>
      <c r="P48" s="25"/>
      <c r="Q48" s="25"/>
      <c r="R48" s="25"/>
      <c r="S48" s="25"/>
      <c r="T48" s="25"/>
    </row>
    <row r="49" spans="1:20" x14ac:dyDescent="0.35">
      <c r="A49" s="25"/>
      <c r="B49" s="25"/>
      <c r="C49" s="25"/>
      <c r="D49" s="25"/>
      <c r="E49" s="25"/>
      <c r="F49" s="25"/>
      <c r="G49" s="25"/>
      <c r="H49" s="25"/>
      <c r="I49" s="25"/>
      <c r="J49" s="25"/>
      <c r="K49" s="25"/>
      <c r="L49" s="25"/>
      <c r="M49" s="25"/>
      <c r="N49" s="25"/>
      <c r="O49" s="25"/>
      <c r="P49" s="25"/>
      <c r="Q49" s="25"/>
      <c r="R49" s="25"/>
      <c r="S49" s="25"/>
      <c r="T49" s="25"/>
    </row>
    <row r="50" spans="1:20" x14ac:dyDescent="0.35">
      <c r="A50" s="25"/>
      <c r="B50" s="25"/>
      <c r="C50" s="25"/>
      <c r="D50" s="25"/>
      <c r="E50" s="25"/>
      <c r="F50" s="25"/>
      <c r="G50" s="25"/>
      <c r="H50" s="25"/>
      <c r="I50" s="25"/>
      <c r="J50" s="25"/>
      <c r="K50" s="25"/>
      <c r="L50" s="25"/>
      <c r="M50" s="25"/>
      <c r="N50" s="25"/>
      <c r="O50" s="25"/>
      <c r="P50" s="25"/>
      <c r="Q50" s="25"/>
      <c r="R50" s="25"/>
      <c r="S50" s="25"/>
      <c r="T50" s="25"/>
    </row>
    <row r="51" spans="1:20" x14ac:dyDescent="0.35">
      <c r="A51" s="25"/>
      <c r="B51" s="25"/>
      <c r="C51" s="25"/>
      <c r="D51" s="25"/>
      <c r="E51" s="25"/>
      <c r="F51" s="25"/>
      <c r="G51" s="25"/>
      <c r="H51" s="25"/>
      <c r="I51" s="25"/>
      <c r="J51" s="25"/>
      <c r="K51" s="25"/>
      <c r="L51" s="25"/>
      <c r="M51" s="25"/>
      <c r="N51" s="25"/>
      <c r="O51" s="25"/>
      <c r="P51" s="25"/>
      <c r="Q51" s="25"/>
      <c r="R51" s="25"/>
      <c r="S51" s="25"/>
      <c r="T51" s="25"/>
    </row>
    <row r="52" spans="1:20" x14ac:dyDescent="0.35">
      <c r="A52" s="25"/>
      <c r="B52" s="25"/>
      <c r="C52" s="25"/>
      <c r="D52" s="25"/>
      <c r="E52" s="25"/>
      <c r="F52" s="25"/>
      <c r="G52" s="25"/>
      <c r="H52" s="25"/>
      <c r="I52" s="25"/>
      <c r="J52" s="25"/>
      <c r="K52" s="25"/>
      <c r="L52" s="25"/>
      <c r="M52" s="25"/>
      <c r="N52" s="25"/>
      <c r="O52" s="25"/>
      <c r="P52" s="25"/>
      <c r="Q52" s="25"/>
      <c r="R52" s="25"/>
      <c r="S52" s="25"/>
      <c r="T52" s="25"/>
    </row>
  </sheetData>
  <mergeCells count="9">
    <mergeCell ref="C5:D5"/>
    <mergeCell ref="G5:H5"/>
    <mergeCell ref="J5:K5"/>
    <mergeCell ref="M5:N5"/>
    <mergeCell ref="A1:T1"/>
    <mergeCell ref="C4:D4"/>
    <mergeCell ref="G4:H4"/>
    <mergeCell ref="J4:K4"/>
    <mergeCell ref="M4:N4"/>
  </mergeCells>
  <pageMargins left="0.7" right="0.7" top="0.75" bottom="0.75" header="0.511811023622047" footer="0.511811023622047"/>
  <pageSetup paperSize="9"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KPI Dashboard</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Harshal Singh</cp:lastModifiedBy>
  <cp:revision>2</cp:revision>
  <dcterms:created xsi:type="dcterms:W3CDTF">2026-06-26T06:11:33Z</dcterms:created>
  <dcterms:modified xsi:type="dcterms:W3CDTF">2026-06-30T15:14:30Z</dcterms:modified>
  <dc:language>en-US</dc:language>
</cp:coreProperties>
</file>