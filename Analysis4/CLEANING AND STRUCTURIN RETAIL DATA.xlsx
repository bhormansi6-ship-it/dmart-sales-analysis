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4\"/>
    </mc:Choice>
  </mc:AlternateContent>
  <xr:revisionPtr revIDLastSave="0" documentId="13_ncr:1_{33EA112D-ECE9-41F0-8614-5552F998E3F2}" xr6:coauthVersionLast="47" xr6:coauthVersionMax="47" xr10:uidLastSave="{00000000-0000-0000-0000-000000000000}"/>
  <bookViews>
    <workbookView xWindow="-110" yWindow="-110" windowWidth="19420" windowHeight="11020" xr2:uid="{F5F879DA-6032-4A69-8119-35C8DFBEB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8" i="1" l="1"/>
  <c r="S19" i="1"/>
  <c r="S20" i="1"/>
  <c r="S17" i="1"/>
  <c r="S16" i="1"/>
  <c r="S15" i="1"/>
  <c r="R20" i="1"/>
  <c r="R19" i="1"/>
  <c r="R18" i="1"/>
  <c r="R17" i="1"/>
  <c r="R16" i="1"/>
  <c r="R15" i="1"/>
  <c r="Q20" i="1"/>
  <c r="Q19" i="1"/>
  <c r="Q18" i="1"/>
  <c r="Q17" i="1"/>
  <c r="Q16" i="1"/>
  <c r="Q15" i="1"/>
  <c r="P20" i="1"/>
  <c r="P19" i="1"/>
  <c r="P18" i="1"/>
  <c r="P17" i="1"/>
  <c r="P16" i="1"/>
  <c r="P15" i="1"/>
  <c r="O20" i="1"/>
  <c r="O19" i="1"/>
  <c r="O18" i="1"/>
  <c r="M16" i="1"/>
  <c r="M15" i="1"/>
  <c r="M17" i="1"/>
  <c r="M18" i="1"/>
  <c r="M19" i="1"/>
  <c r="M20" i="1"/>
  <c r="L20" i="1"/>
  <c r="L19" i="1"/>
  <c r="L18" i="1"/>
  <c r="L17" i="1"/>
  <c r="L16" i="1"/>
  <c r="L15" i="1"/>
  <c r="N18" i="1"/>
  <c r="O17" i="1"/>
  <c r="O16" i="1"/>
  <c r="O15" i="1"/>
  <c r="N20" i="1"/>
  <c r="N19" i="1"/>
  <c r="N17" i="1"/>
  <c r="N16" i="1"/>
  <c r="N15" i="1"/>
  <c r="D15" i="1"/>
  <c r="E15" i="1"/>
  <c r="F15" i="1"/>
  <c r="G15" i="1"/>
  <c r="I15" i="1"/>
  <c r="K20" i="1"/>
  <c r="K19" i="1"/>
  <c r="K18" i="1"/>
  <c r="K17" i="1"/>
  <c r="K16" i="1"/>
  <c r="K15" i="1"/>
  <c r="C15" i="1"/>
  <c r="J20" i="1"/>
  <c r="J19" i="1"/>
  <c r="J18" i="1"/>
  <c r="J17" i="1"/>
  <c r="J16" i="1"/>
  <c r="J15" i="1"/>
  <c r="I20" i="1"/>
  <c r="I19" i="1"/>
  <c r="I18" i="1"/>
  <c r="I17" i="1"/>
  <c r="I16" i="1"/>
  <c r="H20" i="1"/>
  <c r="H19" i="1"/>
  <c r="H18" i="1"/>
  <c r="H17" i="1"/>
  <c r="H16" i="1"/>
  <c r="H15" i="1"/>
  <c r="G20" i="1"/>
  <c r="G19" i="1"/>
  <c r="G18" i="1"/>
  <c r="G17" i="1"/>
  <c r="G16" i="1"/>
  <c r="F20" i="1"/>
  <c r="F19" i="1"/>
  <c r="F18" i="1"/>
  <c r="F17" i="1"/>
  <c r="F16" i="1"/>
  <c r="E16" i="1"/>
  <c r="E17" i="1"/>
  <c r="E18" i="1"/>
  <c r="E19" i="1"/>
  <c r="E20" i="1"/>
  <c r="D20" i="1"/>
  <c r="D19" i="1"/>
  <c r="C20" i="1"/>
  <c r="C19" i="1"/>
  <c r="D18" i="1"/>
  <c r="C18" i="1"/>
  <c r="D17" i="1"/>
  <c r="C17" i="1"/>
  <c r="D16" i="1"/>
  <c r="C16" i="1"/>
</calcChain>
</file>

<file path=xl/sharedStrings.xml><?xml version="1.0" encoding="utf-8"?>
<sst xmlns="http://schemas.openxmlformats.org/spreadsheetml/2006/main" count="41" uniqueCount="35">
  <si>
    <t>TANUJA THAKUR</t>
  </si>
  <si>
    <t>RIYA MEHETRE</t>
  </si>
  <si>
    <t>ISHWARI AAGLAWE</t>
  </si>
  <si>
    <t>SAKSHI RAIJADE</t>
  </si>
  <si>
    <t>ATHARV DHAMALE</t>
  </si>
  <si>
    <t>MANSI BHOR</t>
  </si>
  <si>
    <t>LEFT SIDE</t>
  </si>
  <si>
    <t>RIGHT SIDE</t>
  </si>
  <si>
    <t>MID</t>
  </si>
  <si>
    <t>LEN</t>
  </si>
  <si>
    <t>FIND</t>
  </si>
  <si>
    <t>SEARCH</t>
  </si>
  <si>
    <t>UPPER</t>
  </si>
  <si>
    <t>LOWER()</t>
  </si>
  <si>
    <t>PROPER()</t>
  </si>
  <si>
    <t>TRIM()</t>
  </si>
  <si>
    <t>CONCAT()</t>
  </si>
  <si>
    <t>SUBSTITUTE</t>
  </si>
  <si>
    <t>REPLACE</t>
  </si>
  <si>
    <t>EXACT</t>
  </si>
  <si>
    <t>VALUE</t>
  </si>
  <si>
    <t>TEXT</t>
  </si>
  <si>
    <t>TEXTJOIN()</t>
  </si>
  <si>
    <t>tanujathakur@company.com</t>
  </si>
  <si>
    <t>riyamehetre@company.com</t>
  </si>
  <si>
    <t>ishwariaaglawe@company.com</t>
  </si>
  <si>
    <t>sakshiraijade@company.com</t>
  </si>
  <si>
    <t>atharvdhamale@company.com</t>
  </si>
  <si>
    <t>mansibhor@company.com</t>
  </si>
  <si>
    <t>Tanuja</t>
  </si>
  <si>
    <t>Riya</t>
  </si>
  <si>
    <t>Ishwari</t>
  </si>
  <si>
    <t>Sakshi</t>
  </si>
  <si>
    <t>Atharv</t>
  </si>
  <si>
    <t>Mansi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</si>
</sst>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19"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E057A-6A45-43D3-A950-EE2369C2D5B8}" name="Table1" displayName="Table1" ref="C14:S20" totalsRowShown="0" headerRowDxfId="0" dataDxfId="1">
  <autoFilter ref="C14:S20" xr:uid="{E0EE057A-6A45-43D3-A950-EE2369C2D5B8}"/>
  <tableColumns count="17">
    <tableColumn id="1" xr3:uid="{64A10836-9C4B-41DD-8272-76AB97D34AA6}" name="LEFT SIDE" dataDxfId="18">
      <calculatedColumnFormula>LEFT(A1,4)</calculatedColumnFormula>
    </tableColumn>
    <tableColumn id="2" xr3:uid="{544F7C52-4B8B-4BE9-9F14-5969BC828D3F}" name="RIGHT SIDE" dataDxfId="17">
      <calculatedColumnFormula>RIGHT(A1,4)</calculatedColumnFormula>
    </tableColumn>
    <tableColumn id="3" xr3:uid="{B29E1283-FEDB-43AF-85C9-CE9C9F6A5A24}" name="MID" dataDxfId="16">
      <calculatedColumnFormula>MID(A1,1,4)</calculatedColumnFormula>
    </tableColumn>
    <tableColumn id="4" xr3:uid="{95B989A9-322E-4960-A4E7-246663FBD2E3}" name="LEN" dataDxfId="15"/>
    <tableColumn id="5" xr3:uid="{DF567ECC-0CB8-4922-BF35-9E52D4D62815}" name="FIND" dataDxfId="14"/>
    <tableColumn id="6" xr3:uid="{13807B57-A55D-4182-8197-B049D355B4F3}" name="SEARCH" dataDxfId="13"/>
    <tableColumn id="7" xr3:uid="{7D0238C7-010A-40E7-BDB8-B022752F05CE}" name="UPPER" dataDxfId="12"/>
    <tableColumn id="8" xr3:uid="{A9574914-2332-4CD1-AC82-D56D45495E15}" name="LOWER()" dataDxfId="11"/>
    <tableColumn id="9" xr3:uid="{14C73F46-EBF2-4B53-94C0-45DCA6BBABB2}" name="PROPER()" dataDxfId="10"/>
    <tableColumn id="10" xr3:uid="{FA197DEF-3378-437B-878D-FEC4E78006DD}" name="TRIM()" dataDxfId="9"/>
    <tableColumn id="11" xr3:uid="{131D478A-580D-4F0D-A09B-124D1B926B03}" name="CONCAT()" dataDxfId="8"/>
    <tableColumn id="12" xr3:uid="{8AAEF59E-D393-44A6-8643-366260DD91D8}" name="TEXTJOIN()" dataDxfId="7"/>
    <tableColumn id="13" xr3:uid="{4A5A0468-7347-4AC4-A0DD-C20FD717F1AB}" name="SUBSTITUTE" dataDxfId="6"/>
    <tableColumn id="14" xr3:uid="{DD51CD37-3611-4026-82AF-8B64D08378A3}" name="REPLACE" dataDxfId="5"/>
    <tableColumn id="15" xr3:uid="{8019906F-D34D-4026-A809-4C2162F7211A}" name="EXACT" dataDxfId="4"/>
    <tableColumn id="16" xr3:uid="{D1DAB57F-4B67-40B4-B972-45C2434EF409}" name="VALUE" dataDxfId="3"/>
    <tableColumn id="17" xr3:uid="{0584EBBE-6046-44DD-98AF-1B4711978D10}" name="TEXT" dataDxfId="2">
      <calculatedColumnFormula>TEXT(TODAY(),"DD-MMM-YYYY")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hwariaaglawe@company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iyamehetre@company.com" TargetMode="External"/><Relationship Id="rId1" Type="http://schemas.openxmlformats.org/officeDocument/2006/relationships/hyperlink" Target="mailto:tanujathakur@company.com" TargetMode="External"/><Relationship Id="rId6" Type="http://schemas.openxmlformats.org/officeDocument/2006/relationships/hyperlink" Target="mailto:mansibhor@company.com" TargetMode="External"/><Relationship Id="rId5" Type="http://schemas.openxmlformats.org/officeDocument/2006/relationships/hyperlink" Target="mailto:atharvdhamale@company.com" TargetMode="External"/><Relationship Id="rId4" Type="http://schemas.openxmlformats.org/officeDocument/2006/relationships/hyperlink" Target="mailto:sakshiraijad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44DA-5369-475B-B5F5-FF0243D8804D}">
  <dimension ref="A1:S20"/>
  <sheetViews>
    <sheetView tabSelected="1" zoomScale="102" workbookViewId="0">
      <pane ySplit="1" topLeftCell="A2" activePane="bottomLeft" state="frozen"/>
      <selection activeCell="F1" sqref="F1"/>
      <selection pane="bottomLeft" activeCell="B11" sqref="B11"/>
    </sheetView>
  </sheetViews>
  <sheetFormatPr defaultRowHeight="14.5" x14ac:dyDescent="0.35"/>
  <cols>
    <col min="1" max="1" width="17.6328125" customWidth="1"/>
    <col min="2" max="2" width="26.453125" customWidth="1"/>
    <col min="3" max="3" width="10.54296875" customWidth="1"/>
    <col min="4" max="4" width="11.90625" customWidth="1"/>
    <col min="5" max="5" width="10.1796875" customWidth="1"/>
    <col min="8" max="8" width="9.1796875" customWidth="1"/>
    <col min="9" max="9" width="16.453125" customWidth="1"/>
    <col min="10" max="10" width="13.90625" customWidth="1"/>
    <col min="11" max="11" width="14" customWidth="1"/>
    <col min="12" max="12" width="16.7265625" customWidth="1"/>
    <col min="13" max="13" width="16.54296875" customWidth="1"/>
    <col min="14" max="14" width="31.6328125" customWidth="1"/>
    <col min="15" max="15" width="12.54296875" customWidth="1"/>
    <col min="16" max="16" width="10.1796875" customWidth="1"/>
    <col min="17" max="17" width="9.1796875" customWidth="1"/>
    <col min="19" max="19" width="10.54296875" customWidth="1"/>
    <col min="20" max="20" width="14.26953125" bestFit="1" customWidth="1"/>
  </cols>
  <sheetData>
    <row r="1" spans="1:19" x14ac:dyDescent="0.35">
      <c r="A1" s="5" t="s">
        <v>0</v>
      </c>
      <c r="B1" s="1" t="s">
        <v>23</v>
      </c>
      <c r="C1" s="1"/>
    </row>
    <row r="2" spans="1:19" x14ac:dyDescent="0.35">
      <c r="A2" s="5" t="s">
        <v>1</v>
      </c>
      <c r="B2" s="1" t="s">
        <v>24</v>
      </c>
      <c r="C2" s="1"/>
    </row>
    <row r="3" spans="1:19" x14ac:dyDescent="0.35">
      <c r="A3" s="5" t="s">
        <v>2</v>
      </c>
      <c r="B3" s="1" t="s">
        <v>25</v>
      </c>
      <c r="C3" s="1"/>
    </row>
    <row r="4" spans="1:19" x14ac:dyDescent="0.35">
      <c r="A4" s="5" t="s">
        <v>3</v>
      </c>
      <c r="B4" s="1" t="s">
        <v>26</v>
      </c>
      <c r="C4" s="1"/>
    </row>
    <row r="5" spans="1:19" x14ac:dyDescent="0.35">
      <c r="A5" s="5" t="s">
        <v>4</v>
      </c>
      <c r="B5" s="1" t="s">
        <v>27</v>
      </c>
      <c r="C5" s="1"/>
    </row>
    <row r="6" spans="1:19" x14ac:dyDescent="0.35">
      <c r="A6" s="5" t="s">
        <v>5</v>
      </c>
      <c r="B6" s="1" t="s">
        <v>28</v>
      </c>
      <c r="C6" s="1"/>
    </row>
    <row r="7" spans="1:19" x14ac:dyDescent="0.35">
      <c r="C7" s="1"/>
    </row>
    <row r="10" spans="1:19" x14ac:dyDescent="0.35">
      <c r="A10" s="5" t="s">
        <v>0</v>
      </c>
      <c r="B10" t="s">
        <v>29</v>
      </c>
    </row>
    <row r="11" spans="1:19" x14ac:dyDescent="0.35">
      <c r="A11" s="5" t="s">
        <v>1</v>
      </c>
      <c r="B11" t="s">
        <v>30</v>
      </c>
    </row>
    <row r="12" spans="1:19" x14ac:dyDescent="0.35">
      <c r="A12" s="5" t="s">
        <v>2</v>
      </c>
      <c r="B12" t="s">
        <v>31</v>
      </c>
    </row>
    <row r="13" spans="1:19" x14ac:dyDescent="0.35">
      <c r="A13" s="5" t="s">
        <v>3</v>
      </c>
      <c r="B13" t="s">
        <v>32</v>
      </c>
    </row>
    <row r="14" spans="1:19" x14ac:dyDescent="0.35">
      <c r="A14" s="5" t="s">
        <v>4</v>
      </c>
      <c r="B14" t="s">
        <v>33</v>
      </c>
      <c r="C14" s="2" t="s">
        <v>6</v>
      </c>
      <c r="D14" s="2" t="s">
        <v>7</v>
      </c>
      <c r="E14" s="2" t="s">
        <v>8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 t="s">
        <v>14</v>
      </c>
      <c r="L14" s="2" t="s">
        <v>15</v>
      </c>
      <c r="M14" s="2" t="s">
        <v>16</v>
      </c>
      <c r="N14" s="2" t="s">
        <v>22</v>
      </c>
      <c r="O14" s="2" t="s">
        <v>17</v>
      </c>
      <c r="P14" s="2" t="s">
        <v>18</v>
      </c>
      <c r="Q14" s="2" t="s">
        <v>19</v>
      </c>
      <c r="R14" s="2" t="s">
        <v>20</v>
      </c>
      <c r="S14" s="2" t="s">
        <v>21</v>
      </c>
    </row>
    <row r="15" spans="1:19" x14ac:dyDescent="0.35">
      <c r="A15" s="5" t="s">
        <v>5</v>
      </c>
      <c r="B15" t="s">
        <v>34</v>
      </c>
      <c r="C15" s="3" t="str">
        <f>LEFT(A1,3)</f>
        <v>TAN</v>
      </c>
      <c r="D15" s="3" t="str">
        <f>RIGHT(A1,3)</f>
        <v>KUR</v>
      </c>
      <c r="E15" s="3" t="str">
        <f>MID(A1,1,4)</f>
        <v>TANU</v>
      </c>
      <c r="F15" s="3">
        <f>LEN("TANUJA")</f>
        <v>6</v>
      </c>
      <c r="G15" s="3">
        <f>FIND("N","TANUJA THAKUR")</f>
        <v>3</v>
      </c>
      <c r="H15" s="3">
        <f>SEARCH("THAKUR","TANUJA THAKUR")</f>
        <v>8</v>
      </c>
      <c r="I15" s="3" t="str">
        <f>UPPER("tanuja thakur")</f>
        <v>TANUJA THAKUR</v>
      </c>
      <c r="J15" s="3" t="str">
        <f>LOWER("tanuja thakur")</f>
        <v>tanuja thakur</v>
      </c>
      <c r="K15" s="3" t="str">
        <f>PROPER("tanuja thakur")</f>
        <v>Tanuja Thakur</v>
      </c>
      <c r="L15" s="3" t="str">
        <f>TRIM("Tanuja Thakur")</f>
        <v>Tanuja Thakur</v>
      </c>
      <c r="M15" s="3" t="str">
        <f>CONCATENATE("Tanuja"," ","Thakur")</f>
        <v>Tanuja Thakur</v>
      </c>
      <c r="N15" s="3" t="str">
        <f>_xlfn.TEXTJOIN("-",TRUE,"TANUJA","THAKUR","TRAINER")</f>
        <v>TANUJA-THAKUR-TRAINER</v>
      </c>
      <c r="O15" s="3" t="str">
        <f>SUBSTITUTE("DrTanuja","DrT","Dr-T")</f>
        <v>Dr-Tanuja</v>
      </c>
      <c r="P15" s="3" t="str">
        <f>REPLACE("EMP1001",1,3,"STAFF")</f>
        <v>STAFF1001</v>
      </c>
      <c r="Q15" s="3" t="b">
        <f>EXACT("TANUJA","Tnuja")</f>
        <v>0</v>
      </c>
      <c r="R15" s="3">
        <f>VALUE("1000")</f>
        <v>1000</v>
      </c>
      <c r="S15" s="4" t="str">
        <f ca="1">TEXT(TODAY(),"DD-MMM-YYYY")</f>
        <v>17-Jun-2026</v>
      </c>
    </row>
    <row r="16" spans="1:19" x14ac:dyDescent="0.35">
      <c r="C16" s="3" t="str">
        <f>LEFT(A2,2)</f>
        <v>RI</v>
      </c>
      <c r="D16" s="3" t="str">
        <f>RIGHT(A2,4)</f>
        <v>ETRE</v>
      </c>
      <c r="E16" s="3" t="str">
        <f t="shared" ref="E15:E20" si="0">MID(A2,1,4)</f>
        <v>RIYA</v>
      </c>
      <c r="F16" s="3">
        <f>LEN("RIYA")</f>
        <v>4</v>
      </c>
      <c r="G16" s="3">
        <f>FIND("A","RIYA MEHETRE")</f>
        <v>4</v>
      </c>
      <c r="H16" s="3">
        <f>SEARCH("MEHETRE","RIYA MEHETRE")</f>
        <v>6</v>
      </c>
      <c r="I16" s="3" t="str">
        <f>UPPER("RIYA MEHETRE")</f>
        <v>RIYA MEHETRE</v>
      </c>
      <c r="J16" s="3" t="str">
        <f>LOWER("RIYA MEHETRE")</f>
        <v>riya mehetre</v>
      </c>
      <c r="K16" s="3" t="str">
        <f>PROPER("RIYA MEHETRE")</f>
        <v>Riya Mehetre</v>
      </c>
      <c r="L16" s="3" t="str">
        <f>TRIM(" Riya Mehetre  ")</f>
        <v>Riya Mehetre</v>
      </c>
      <c r="M16" s="3" t="str">
        <f>CONCATENATE("Riya"," ","Mehetre")</f>
        <v>Riya Mehetre</v>
      </c>
      <c r="N16" s="3" t="str">
        <f>_xlfn.TEXTJOIN("-",TRUE,"RIYA","MEHETRE","DANCER")</f>
        <v>RIYA-MEHETRE-DANCER</v>
      </c>
      <c r="O16" s="3" t="str">
        <f>SUBSTITUTE("DrRIYA","DrR","Dr-R")</f>
        <v>Dr-RIYA</v>
      </c>
      <c r="P16" s="3" t="str">
        <f>REPLACE("EMP1002",1,3,"STAFF")</f>
        <v>STAFF1002</v>
      </c>
      <c r="Q16" s="3" t="b">
        <f>EXACT("RIYA","riya")</f>
        <v>0</v>
      </c>
      <c r="R16" s="3">
        <f>VALUE("2000")</f>
        <v>2000</v>
      </c>
      <c r="S16" s="3" t="str">
        <f ca="1">TEXT(TODAY(),"DD-MMM-YYYY")</f>
        <v>17-Jun-2026</v>
      </c>
    </row>
    <row r="17" spans="3:19" x14ac:dyDescent="0.35">
      <c r="C17" s="3" t="str">
        <f>LEFT(A3,4)</f>
        <v>ISHW</v>
      </c>
      <c r="D17" s="3" t="str">
        <f>RIGHT(A3,4)</f>
        <v>LAWE</v>
      </c>
      <c r="E17" s="3" t="str">
        <f t="shared" si="0"/>
        <v>ISHW</v>
      </c>
      <c r="F17" s="3">
        <f>LEN("ISHWARI")</f>
        <v>7</v>
      </c>
      <c r="G17" s="3">
        <f>FIND("H","ISHWARI AAGLAWE")</f>
        <v>3</v>
      </c>
      <c r="H17" s="3">
        <f>SEARCH("AAGLAWE","ISHWARI AAGLAWE")</f>
        <v>9</v>
      </c>
      <c r="I17" s="3" t="str">
        <f>UPPER("ISHWARI AAGLAWE")</f>
        <v>ISHWARI AAGLAWE</v>
      </c>
      <c r="J17" s="3" t="str">
        <f>LOWER("ISHWARI AAGLAWE")</f>
        <v>ishwari aaglawe</v>
      </c>
      <c r="K17" s="3" t="str">
        <f>PROPER("ISHWARI AAGLAWE")</f>
        <v>Ishwari Aaglawe</v>
      </c>
      <c r="L17" s="3" t="str">
        <f>TRIM("Ishwari Aaglawe")</f>
        <v>Ishwari Aaglawe</v>
      </c>
      <c r="M17" s="3" t="str">
        <f>CONCATENATE("Ishwari"," ","Aaglawe")</f>
        <v>Ishwari Aaglawe</v>
      </c>
      <c r="N17" s="3" t="str">
        <f>_xlfn.TEXTJOIN("-",TRUE,"ISHWARI","AAGLAWE","CHOREOGRAPHER")</f>
        <v>ISHWARI-AAGLAWE-CHOREOGRAPHER</v>
      </c>
      <c r="O17" s="3" t="str">
        <f>SUBSTITUTE("DrISHWARI","DrI","Dr-I")</f>
        <v>Dr-ISHWARI</v>
      </c>
      <c r="P17" s="3" t="str">
        <f>REPLACE("EMP1003",1,3,"STAFF")</f>
        <v>STAFF1003</v>
      </c>
      <c r="Q17" s="3" t="b">
        <f>EXACT("ishwari","ish")</f>
        <v>0</v>
      </c>
      <c r="R17" s="3">
        <f>VALUE("3000")</f>
        <v>3000</v>
      </c>
      <c r="S17" s="3" t="str">
        <f ca="1">TEXT(TODAY(),"DD-MMM-YYYY")</f>
        <v>17-Jun-2026</v>
      </c>
    </row>
    <row r="18" spans="3:19" x14ac:dyDescent="0.35">
      <c r="C18" s="3" t="str">
        <f>LEFT(A4,4)</f>
        <v>SAKS</v>
      </c>
      <c r="D18" s="3" t="str">
        <f>RIGHT(A4,4)</f>
        <v>JADE</v>
      </c>
      <c r="E18" s="3" t="str">
        <f t="shared" si="0"/>
        <v>SAKS</v>
      </c>
      <c r="F18" s="3">
        <f>LEN("SAKSHI")</f>
        <v>6</v>
      </c>
      <c r="G18" s="3">
        <f>FIND("H","SAKSHI RAIJADE ")</f>
        <v>5</v>
      </c>
      <c r="H18" s="3">
        <f>SEARCH("RAIJADE","SAKSHI RAIJADE")</f>
        <v>8</v>
      </c>
      <c r="I18" s="3" t="str">
        <f>UPPER("SAKSHI RAIJADE")</f>
        <v>SAKSHI RAIJADE</v>
      </c>
      <c r="J18" s="3" t="str">
        <f>LOWER("SAKSHI RAIJADE")</f>
        <v>sakshi raijade</v>
      </c>
      <c r="K18" s="3" t="str">
        <f>PROPER("SAKSHI RAIJADE")</f>
        <v>Sakshi Raijade</v>
      </c>
      <c r="L18" s="3" t="str">
        <f>TRIM("Sakshi Raijade")</f>
        <v>Sakshi Raijade</v>
      </c>
      <c r="M18" s="3" t="str">
        <f>CONCATENATE("Sakshi"," ","Raijade")</f>
        <v>Sakshi Raijade</v>
      </c>
      <c r="N18" s="3" t="str">
        <f>_xlfn.TEXTJOIN("-",TRUE,"SAKSHI","RAIJADE","STUDENT")</f>
        <v>SAKSHI-RAIJADE-STUDENT</v>
      </c>
      <c r="O18" s="3" t="str">
        <f>SUBSTITUTE("DrSAKSHI","DrS","Dr-S")</f>
        <v>Dr-SAKSHI</v>
      </c>
      <c r="P18" s="3" t="str">
        <f>REPLACE("EMP1004",1,3,"STAFF")</f>
        <v>STAFF1004</v>
      </c>
      <c r="Q18" s="3" t="b">
        <f>EXACT("sakshi","sakshi")</f>
        <v>1</v>
      </c>
      <c r="R18" s="3">
        <f>VALUE("4000")</f>
        <v>4000</v>
      </c>
      <c r="S18" s="3" t="str">
        <f t="shared" ref="S18:S20" ca="1" si="1">TEXT(TODAY(),"DD-MMM-YYYY")</f>
        <v>17-Jun-2026</v>
      </c>
    </row>
    <row r="19" spans="3:19" x14ac:dyDescent="0.35">
      <c r="C19" s="3" t="str">
        <f>LEFT(A5,4)</f>
        <v>ATHA</v>
      </c>
      <c r="D19" s="3" t="str">
        <f>RIGHT(A5,4)</f>
        <v>MALE</v>
      </c>
      <c r="E19" s="3" t="str">
        <f t="shared" si="0"/>
        <v>ATHA</v>
      </c>
      <c r="F19" s="3">
        <f>LEN("ATHARV")</f>
        <v>6</v>
      </c>
      <c r="G19" s="3">
        <f>FIND("A","ATHARV DHAMALE ")</f>
        <v>1</v>
      </c>
      <c r="H19" s="3">
        <f>SEARCH("DHAMALE","ATHARV DHAMALE")</f>
        <v>8</v>
      </c>
      <c r="I19" s="3" t="str">
        <f>UPPER("ATHARV DHAMALE")</f>
        <v>ATHARV DHAMALE</v>
      </c>
      <c r="J19" s="3" t="str">
        <f>LOWER("ATHARV DHAMALE")</f>
        <v>atharv dhamale</v>
      </c>
      <c r="K19" s="3" t="str">
        <f>PROPER("ATHARV DHAMALE")</f>
        <v>Atharv Dhamale</v>
      </c>
      <c r="L19" s="3" t="str">
        <f>TRIM("Atharv Dhamale")</f>
        <v>Atharv Dhamale</v>
      </c>
      <c r="M19" s="3" t="str">
        <f>CONCATENATE("Atharv"," ","Dhamale")</f>
        <v>Atharv Dhamale</v>
      </c>
      <c r="N19" s="3" t="str">
        <f>_xlfn.TEXTJOIN("-",TRUE,"ATHARV","DHAMALE","LAWYER")</f>
        <v>ATHARV-DHAMALE-LAWYER</v>
      </c>
      <c r="O19" s="3" t="str">
        <f>SUBSTITUTE("DrATHARV","DrA","Dr-A")</f>
        <v>Dr-ATHARV</v>
      </c>
      <c r="P19" s="3" t="str">
        <f>REPLACE("EMP1005",1,3,"STAFF")</f>
        <v>STAFF1005</v>
      </c>
      <c r="Q19" s="3" t="b">
        <f>EXACT("atharv","atharv")</f>
        <v>1</v>
      </c>
      <c r="R19" s="3">
        <f>VALUE("5000")</f>
        <v>5000</v>
      </c>
      <c r="S19" s="3" t="str">
        <f t="shared" ca="1" si="1"/>
        <v>17-Jun-2026</v>
      </c>
    </row>
    <row r="20" spans="3:19" x14ac:dyDescent="0.35">
      <c r="C20" s="3" t="str">
        <f>LEFT(A6,4)</f>
        <v>MANS</v>
      </c>
      <c r="D20" s="3" t="str">
        <f>RIGHT(A6,4)</f>
        <v>BHOR</v>
      </c>
      <c r="E20" s="3" t="str">
        <f t="shared" si="0"/>
        <v>MANS</v>
      </c>
      <c r="F20" s="3">
        <f>LEN("MANSI")</f>
        <v>5</v>
      </c>
      <c r="G20" s="3">
        <f>FIND("O","MANSI BHOR ")</f>
        <v>9</v>
      </c>
      <c r="H20" s="3">
        <f>SEARCH("BHOR","MANSI BHOR")</f>
        <v>7</v>
      </c>
      <c r="I20" s="3" t="str">
        <f>UPPER("MANSI BHOR")</f>
        <v>MANSI BHOR</v>
      </c>
      <c r="J20" s="3" t="str">
        <f>LOWER("MANSI BHOR")</f>
        <v>mansi bhor</v>
      </c>
      <c r="K20" s="3" t="str">
        <f>PROPER("MANSI BHOR")</f>
        <v>Mansi Bhor</v>
      </c>
      <c r="L20" s="3" t="str">
        <f>TRIM("Mansi Bhor")</f>
        <v>Mansi Bhor</v>
      </c>
      <c r="M20" s="3" t="str">
        <f>CONCATENATE("Mansi"," ","Bhor")</f>
        <v>Mansi Bhor</v>
      </c>
      <c r="N20" s="3" t="str">
        <f>_xlfn.TEXTJOIN("-",TRUE,"MANSI","BHOR","DATA ANALYST")</f>
        <v>MANSI-BHOR-DATA ANALYST</v>
      </c>
      <c r="O20" s="3" t="str">
        <f>SUBSTITUTE("DrMANSI","DrM","Dr-M")</f>
        <v>Dr-MANSI</v>
      </c>
      <c r="P20" s="3" t="str">
        <f>REPLACE("EMP1006",1,3,"STAFF")</f>
        <v>STAFF1006</v>
      </c>
      <c r="Q20" s="3" t="b">
        <f>EXACT("mansi","mansi")</f>
        <v>1</v>
      </c>
      <c r="R20" s="3">
        <f>VALUE("6000")</f>
        <v>6000</v>
      </c>
      <c r="S20" s="3" t="str">
        <f t="shared" ca="1" si="1"/>
        <v>17-Jun-2026</v>
      </c>
    </row>
  </sheetData>
  <hyperlinks>
    <hyperlink ref="B1" r:id="rId1" xr:uid="{9EA71B90-6135-4D64-8AF3-8C3EB8FDD4ED}"/>
    <hyperlink ref="B2" r:id="rId2" xr:uid="{5F4F6EC3-4E13-47EF-8406-6603F2057396}"/>
    <hyperlink ref="B3" r:id="rId3" xr:uid="{535EE9B3-692E-4005-90F4-CBBFA3CC536B}"/>
    <hyperlink ref="B4" r:id="rId4" xr:uid="{B7A11D82-F6CB-4BFA-839D-ED732600C703}"/>
    <hyperlink ref="B5" r:id="rId5" xr:uid="{36165DB5-815C-4843-A2CA-C464DC2F0110}"/>
    <hyperlink ref="B6" r:id="rId6" xr:uid="{49D057C4-86E0-4A6A-BF48-659725863A39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Singh</dc:creator>
  <cp:lastModifiedBy>Harshal Singh</cp:lastModifiedBy>
  <dcterms:created xsi:type="dcterms:W3CDTF">2026-06-11T06:00:53Z</dcterms:created>
  <dcterms:modified xsi:type="dcterms:W3CDTF">2026-06-17T14:53:36Z</dcterms:modified>
</cp:coreProperties>
</file>